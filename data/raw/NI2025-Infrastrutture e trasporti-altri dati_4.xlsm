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124226"/>
  <mc:AlternateContent xmlns:mc="http://schemas.openxmlformats.org/markup-compatibility/2006">
    <mc:Choice Requires="x15">
      <x15ac:absPath xmlns:x15ac="http://schemas.microsoft.com/office/spreadsheetml/2010/11/ac" url="\\Serbia4\Noi Italia Staff\DATI_NI2025_13052025 per creazione zip-lavori in corso\Infrastrutture e trasporti_in sospeso\"/>
    </mc:Choice>
  </mc:AlternateContent>
  <xr:revisionPtr revIDLastSave="0" documentId="8_{333DEABE-D022-4D26-A84D-FFF88295F297}" xr6:coauthVersionLast="47" xr6:coauthVersionMax="47" xr10:uidLastSave="{00000000-0000-0000-0000-000000000000}"/>
  <bookViews>
    <workbookView xWindow="1470" yWindow="1470" windowWidth="21600" windowHeight="11385" xr2:uid="{7AA490E6-10A9-46B4-BD91-1E49435F560A}"/>
  </bookViews>
  <sheets>
    <sheet name="Merci su strada" sheetId="1" r:id="rId1"/>
    <sheet name="Foglio1" sheetId="2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Fill" hidden="1">#REF!</definedName>
    <definedName name="_Order1" hidden="1">0</definedName>
    <definedName name="_Sort" hidden="1">#REF!</definedName>
    <definedName name="_xlnm.Print_Area" localSheetId="0">'Merci su strada'!$A$1:$H$45</definedName>
    <definedName name="AVAR37">'[2]1992'!#REF!</definedName>
    <definedName name="_xlnm.Database">#REF!</definedName>
    <definedName name="der">#REF!</definedName>
    <definedName name="Eleggibili">#REF!</definedName>
    <definedName name="Tavola_1.3">'[6]tav. 1.3'!$A$1</definedName>
    <definedName name="Tavola_1.4">#REF!</definedName>
    <definedName name="Tavola_1.5">#REF!</definedName>
    <definedName name="Tavola_1.7">#REF!</definedName>
    <definedName name="Tracciati" function="1" xlm="1" functionGroupId="14">[7]Tracciati!$A$1:$G$129</definedName>
    <definedName name="Unità_scolastiche_scuole_elementari__statali_e_non">#REF!</definedName>
    <definedName name="Unità_scolastiche_scuole_materne__statali_e_non">#REF!</definedName>
    <definedName name="_Var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1" l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2" i="1"/>
  <c r="G33" i="1"/>
  <c r="G34" i="1"/>
  <c r="G36" i="1"/>
  <c r="G38" i="1"/>
  <c r="G9" i="1"/>
  <c r="C35" i="1"/>
  <c r="G35" i="1" s="1"/>
  <c r="C34" i="2"/>
  <c r="C23" i="2"/>
  <c r="C17" i="2"/>
  <c r="C11" i="2"/>
  <c r="B35" i="1"/>
  <c r="C24" i="2"/>
</calcChain>
</file>

<file path=xl/sharedStrings.xml><?xml version="1.0" encoding="utf-8"?>
<sst xmlns="http://schemas.openxmlformats.org/spreadsheetml/2006/main" count="93" uniqueCount="88">
  <si>
    <t>Infrastrutture e trasporti - Merci trasportate su strada</t>
  </si>
  <si>
    <t>REGIONI
RIPARTIZIONI GEOGRAFICHE</t>
  </si>
  <si>
    <t>Valori assoluti</t>
  </si>
  <si>
    <t>Composizioni percentuali</t>
  </si>
  <si>
    <t>Piemonte</t>
  </si>
  <si>
    <t>Valle d'Aosta/Vallée d'Aoste</t>
  </si>
  <si>
    <t>Liguria</t>
  </si>
  <si>
    <t>Lombardia</t>
  </si>
  <si>
    <t>Trentino-Alto Adige/Südtirol</t>
  </si>
  <si>
    <t>Bolzano-Bozen</t>
  </si>
  <si>
    <t>Trento</t>
  </si>
  <si>
    <t>Veneto</t>
  </si>
  <si>
    <t>Friuli-Venezia Giulia</t>
  </si>
  <si>
    <t>Emilia-Romagna</t>
  </si>
  <si>
    <t>Toscana</t>
  </si>
  <si>
    <t>Umbria</t>
  </si>
  <si>
    <t>Marche</t>
  </si>
  <si>
    <t>Lazio</t>
  </si>
  <si>
    <t>Abruzzo</t>
  </si>
  <si>
    <t>Molise</t>
  </si>
  <si>
    <t>Campania</t>
  </si>
  <si>
    <t>Puglia</t>
  </si>
  <si>
    <t>Basilicata</t>
  </si>
  <si>
    <t>Calabria</t>
  </si>
  <si>
    <t>Sicilia</t>
  </si>
  <si>
    <t>Sardegna</t>
  </si>
  <si>
    <t>Nord-ovest</t>
  </si>
  <si>
    <t>Nord-est</t>
  </si>
  <si>
    <t>Centro</t>
  </si>
  <si>
    <t>Centro-Nord</t>
  </si>
  <si>
    <t>Mezzogiorno</t>
  </si>
  <si>
    <t xml:space="preserve">ITALIA </t>
  </si>
  <si>
    <t>Estero</t>
  </si>
  <si>
    <t>TOTALE</t>
  </si>
  <si>
    <t>Fonte: Istat, Rilevazione sul trasporto merci su strada</t>
  </si>
  <si>
    <t>(a) I dati si riferiscono ai veicoli di portata utile non inferiore ai 35 quintali.</t>
  </si>
  <si>
    <t>PIEMONTE</t>
  </si>
  <si>
    <t>VALLE D'AOSTA</t>
  </si>
  <si>
    <t>LIGURIA</t>
  </si>
  <si>
    <t>LOMBARDIA</t>
  </si>
  <si>
    <t>TRENTINO</t>
  </si>
  <si>
    <t>BOLZANO - BOZEN</t>
  </si>
  <si>
    <t>TRENTO</t>
  </si>
  <si>
    <t>VENETO</t>
  </si>
  <si>
    <t>FRIULI VENEZIA GIULIA</t>
  </si>
  <si>
    <t>EMILIA ROMAGNA</t>
  </si>
  <si>
    <t>TOSCANA</t>
  </si>
  <si>
    <t>UMBRIA</t>
  </si>
  <si>
    <t>MARCHE</t>
  </si>
  <si>
    <t>LAZIO</t>
  </si>
  <si>
    <t>ABRUZZO</t>
  </si>
  <si>
    <t>MOLISE</t>
  </si>
  <si>
    <t>CAMPANIA</t>
  </si>
  <si>
    <t>PUGLIA</t>
  </si>
  <si>
    <t>BASILICATA</t>
  </si>
  <si>
    <t>CALABRIA</t>
  </si>
  <si>
    <t>SICILIA</t>
  </si>
  <si>
    <t>SARDEGNA</t>
  </si>
  <si>
    <t>NORD</t>
  </si>
  <si>
    <t>CENTRO</t>
  </si>
  <si>
    <t>MEZZOGIORNO</t>
  </si>
  <si>
    <t>ITALIA</t>
  </si>
  <si>
    <t>ESTERO</t>
  </si>
  <si>
    <t>ripartizioni</t>
  </si>
  <si>
    <t>nord ovest</t>
  </si>
  <si>
    <t>nord est</t>
  </si>
  <si>
    <t xml:space="preserve">    Trentino Alto Adige</t>
  </si>
  <si>
    <t xml:space="preserve">    Veneto</t>
  </si>
  <si>
    <t xml:space="preserve">    Friuli-Venezia Giulia</t>
  </si>
  <si>
    <t xml:space="preserve">    Emilia-Romagna</t>
  </si>
  <si>
    <t>centro</t>
  </si>
  <si>
    <t xml:space="preserve">toscana </t>
  </si>
  <si>
    <t>umbria</t>
  </si>
  <si>
    <t xml:space="preserve">marche </t>
  </si>
  <si>
    <t>lazio</t>
  </si>
  <si>
    <t>centro nord</t>
  </si>
  <si>
    <t>mezzogiorno</t>
  </si>
  <si>
    <t>abruzzo</t>
  </si>
  <si>
    <t>molise</t>
  </si>
  <si>
    <t>campania</t>
  </si>
  <si>
    <t>puglia</t>
  </si>
  <si>
    <t>basilicata</t>
  </si>
  <si>
    <t>calabria</t>
  </si>
  <si>
    <t>sicilia</t>
  </si>
  <si>
    <t>sardegna</t>
  </si>
  <si>
    <r>
      <t xml:space="preserve">Trasporto di merci su strada per regione di origine
</t>
    </r>
    <r>
      <rPr>
        <sz val="11"/>
        <rFont val="Arial"/>
        <family val="2"/>
      </rPr>
      <t xml:space="preserve">Anni 2022 e 2023 (a) (valori assoluti in migliaia di tonnellate-km) </t>
    </r>
  </si>
  <si>
    <t>Variazioni  % 2023/2022</t>
  </si>
  <si>
    <t>dati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</si>
</sst>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9" formatCode="_-&quot;€&quot;\ * #,##0.00_-;\-&quot;€&quot;\ * #,##0.00_-;_-&quot;€&quot;\ * &quot;-&quot;??_-;_-@_-"/>
    <numFmt numFmtId="170" formatCode="0.0"/>
    <numFmt numFmtId="171" formatCode="#,##0.0"/>
    <numFmt numFmtId="172" formatCode="#,##0.0_ ;\-#,##0.0\ "/>
    <numFmt numFmtId="173" formatCode="\+0.0;\-0.0"/>
    <numFmt numFmtId="175" formatCode="0.000"/>
    <numFmt numFmtId="176" formatCode="_-* #,##0.0_-_-_-;[Blue]_-* \-#,##0.0_-_-_-;_-* &quot;-&quot;_-_-_-;[Red]_-@_-_-_-"/>
    <numFmt numFmtId="177" formatCode="_-* #,##0.00_-_-_-;[Blue]_-* \-#,##0.00_-_-_-;_-* &quot;-&quot;_-_-_-;[Red]_-@_-_-_-"/>
    <numFmt numFmtId="178" formatCode="_-@"/>
    <numFmt numFmtId="179" formatCode="_-* #,##0_-_-_-;[Blue]_-* \-#,##0_-_-_-;_-* &quot;-&quot;_-_-_-;[Red]_-@_-_-_-"/>
    <numFmt numFmtId="180" formatCode="_(* #,##0_);_(* \(#,##0\);_(* &quot;-&quot;_);_(@_)"/>
    <numFmt numFmtId="181" formatCode="#,##0;\-\ #,##0;_-\ &quot;- &quot;"/>
    <numFmt numFmtId="182" formatCode="#,##0.0_-"/>
    <numFmt numFmtId="183" formatCode="#,##0.00_-"/>
    <numFmt numFmtId="184" formatCode="#,##0_-"/>
    <numFmt numFmtId="185" formatCode="_(&quot;$&quot;* #,##0_);_(&quot;$&quot;* \(#,##0\);_(&quot;$&quot;* &quot;-&quot;_);_(@_)"/>
    <numFmt numFmtId="192" formatCode="###,###,###,###,###,###,##0"/>
  </numFmts>
  <fonts count="4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Tahoma"/>
      <family val="2"/>
    </font>
    <font>
      <sz val="7"/>
      <name val="Arial"/>
      <family val="2"/>
    </font>
    <font>
      <sz val="9"/>
      <name val="Arial"/>
      <family val="2"/>
    </font>
    <font>
      <sz val="9"/>
      <color indexed="5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sz val="8"/>
      <color indexed="8"/>
      <name val="Times New Roman"/>
      <family val="1"/>
    </font>
    <font>
      <sz val="8"/>
      <color indexed="9"/>
      <name val="Times New Roman"/>
      <family val="1"/>
    </font>
    <font>
      <b/>
      <sz val="8"/>
      <color indexed="8"/>
      <name val="Times New Roman"/>
      <family val="1"/>
    </font>
    <font>
      <b/>
      <i/>
      <sz val="8"/>
      <color indexed="8"/>
      <name val="Times New Roman"/>
      <family val="1"/>
    </font>
    <font>
      <sz val="10"/>
      <color indexed="8"/>
      <name val="Arial"/>
      <family val="2"/>
    </font>
    <font>
      <b/>
      <sz val="8"/>
      <color indexed="16"/>
      <name val="Tahoma"/>
      <family val="2"/>
    </font>
    <font>
      <sz val="10"/>
      <color indexed="41"/>
      <name val="Arial"/>
      <family val="2"/>
    </font>
    <font>
      <u/>
      <sz val="10"/>
      <name val="Arial"/>
      <family val="2"/>
    </font>
    <font>
      <b/>
      <sz val="10"/>
      <color indexed="41"/>
      <name val="Arial"/>
      <family val="2"/>
    </font>
    <font>
      <sz val="8"/>
      <color indexed="8"/>
      <name val="Tahoma"/>
      <family val="2"/>
    </font>
    <font>
      <b/>
      <sz val="8"/>
      <color indexed="58"/>
      <name val="Tahoma"/>
      <family val="2"/>
    </font>
    <font>
      <b/>
      <sz val="10"/>
      <color indexed="16"/>
      <name val="Tahoma"/>
      <family val="2"/>
    </font>
    <font>
      <sz val="8"/>
      <color indexed="16"/>
      <name val="Tahoma"/>
      <family val="2"/>
    </font>
    <font>
      <b/>
      <sz val="10"/>
      <color indexed="18"/>
      <name val="Tahoma"/>
      <family val="2"/>
    </font>
    <font>
      <sz val="7"/>
      <color indexed="16"/>
      <name val="Tahoma"/>
      <family val="2"/>
    </font>
    <font>
      <b/>
      <sz val="8"/>
      <name val="Tahoma"/>
      <family val="2"/>
    </font>
    <font>
      <b/>
      <sz val="10"/>
      <color indexed="10"/>
      <name val="Tahoma"/>
      <family val="2"/>
    </font>
    <font>
      <sz val="8"/>
      <color indexed="18"/>
      <name val="Tahoma"/>
      <family val="2"/>
    </font>
    <font>
      <i/>
      <sz val="8"/>
      <name val="Tahoma"/>
      <family val="2"/>
    </font>
    <font>
      <b/>
      <sz val="9"/>
      <color indexed="16"/>
      <name val="Tahoma"/>
      <family val="2"/>
    </font>
    <font>
      <b/>
      <i/>
      <sz val="8"/>
      <name val="Tahoma"/>
      <family val="2"/>
    </font>
    <font>
      <b/>
      <i/>
      <sz val="10"/>
      <name val="Tahoma"/>
      <family val="2"/>
    </font>
    <font>
      <sz val="8"/>
      <name val="Times New Roman"/>
      <family val="1"/>
    </font>
    <font>
      <b/>
      <u/>
      <sz val="10"/>
      <color indexed="41"/>
      <name val="Arial"/>
      <family val="2"/>
    </font>
    <font>
      <b/>
      <u/>
      <sz val="10"/>
      <color indexed="18"/>
      <name val="Tahoma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color rgb="FF707070"/>
      <name val="Arial"/>
      <family val="2"/>
    </font>
    <font>
      <sz val="10"/>
      <color rgb="FF000000"/>
      <name val="Helvetica"/>
    </font>
    <font>
      <b/>
      <sz val="10"/>
      <color rgb="FF000000"/>
      <name val="Helvetica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21"/>
      </top>
      <bottom/>
      <diagonal/>
    </border>
    <border>
      <left/>
      <right/>
      <top style="thin">
        <color indexed="21"/>
      </top>
      <bottom style="thin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 style="thin">
        <color indexed="21"/>
      </left>
      <right style="thin">
        <color indexed="21"/>
      </right>
      <top/>
      <bottom style="hair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/>
      <diagonal/>
    </border>
    <border>
      <left style="hair">
        <color indexed="21"/>
      </left>
      <right style="hair">
        <color indexed="21"/>
      </right>
      <top style="hair">
        <color indexed="21"/>
      </top>
      <bottom style="hair">
        <color indexed="21"/>
      </bottom>
      <diagonal/>
    </border>
    <border>
      <left/>
      <right/>
      <top/>
      <bottom style="hair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/>
      <top style="thin">
        <color indexed="2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107">
    <xf numFmtId="0" fontId="0" fillId="0" borderId="0"/>
    <xf numFmtId="49" fontId="11" fillId="2" borderId="1">
      <alignment horizontal="center" vertical="center"/>
    </xf>
    <xf numFmtId="49" fontId="11" fillId="2" borderId="2">
      <alignment horizontal="center" vertical="center"/>
    </xf>
    <xf numFmtId="49" fontId="12" fillId="2" borderId="0">
      <alignment horizontal="left" vertical="center"/>
    </xf>
    <xf numFmtId="176" fontId="11" fillId="2" borderId="3" applyFont="0" applyFill="0" applyProtection="0">
      <alignment horizontal="right" vertical="center"/>
      <protection locked="0"/>
    </xf>
    <xf numFmtId="177" fontId="11" fillId="2" borderId="3" applyFont="0" applyFill="0" applyProtection="0">
      <alignment horizontal="right" vertical="center"/>
      <protection locked="0"/>
    </xf>
    <xf numFmtId="49" fontId="11" fillId="2" borderId="1">
      <alignment horizontal="left" vertical="center"/>
    </xf>
    <xf numFmtId="169" fontId="1" fillId="0" borderId="0" applyFont="0" applyFill="0" applyBorder="0" applyAlignment="0" applyProtection="0"/>
    <xf numFmtId="178" fontId="11" fillId="2" borderId="3">
      <alignment horizontal="left" vertical="center" wrapText="1"/>
    </xf>
    <xf numFmtId="49" fontId="13" fillId="3" borderId="4" applyFill="0">
      <alignment horizontal="left" vertical="center"/>
    </xf>
    <xf numFmtId="179" fontId="11" fillId="2" borderId="3" applyFont="0" applyFill="0" applyProtection="0">
      <alignment horizontal="right" vertical="center"/>
      <protection locked="0"/>
    </xf>
    <xf numFmtId="49" fontId="14" fillId="0" borderId="1" applyAlignment="0">
      <alignment horizontal="left" vertical="center"/>
    </xf>
    <xf numFmtId="180" fontId="15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5" fillId="0" borderId="0"/>
    <xf numFmtId="0" fontId="10" fillId="0" borderId="0"/>
    <xf numFmtId="0" fontId="8" fillId="0" borderId="0"/>
    <xf numFmtId="0" fontId="10" fillId="0" borderId="0"/>
    <xf numFmtId="0" fontId="8" fillId="0" borderId="0"/>
    <xf numFmtId="1" fontId="3" fillId="0" borderId="0">
      <alignment vertical="center"/>
    </xf>
    <xf numFmtId="49" fontId="11" fillId="2" borderId="4">
      <alignment horizontal="left" vertical="center"/>
    </xf>
    <xf numFmtId="181" fontId="1" fillId="0" borderId="0" applyFont="0" applyFill="0" applyBorder="0" applyAlignment="0" applyProtection="0"/>
    <xf numFmtId="49" fontId="16" fillId="2" borderId="5" applyBorder="0" applyAlignment="0">
      <alignment horizontal="left" vertical="center"/>
    </xf>
    <xf numFmtId="0" fontId="17" fillId="4" borderId="6"/>
    <xf numFmtId="49" fontId="16" fillId="5" borderId="6" applyBorder="0">
      <alignment horizontal="left" vertical="center"/>
    </xf>
    <xf numFmtId="49" fontId="16" fillId="6" borderId="6" applyBorder="0">
      <alignment horizontal="left" vertical="center"/>
    </xf>
    <xf numFmtId="49" fontId="16" fillId="3" borderId="6" applyBorder="0">
      <alignment horizontal="left" vertical="center"/>
    </xf>
    <xf numFmtId="49" fontId="16" fillId="7" borderId="6" applyBorder="0">
      <alignment horizontal="left" vertical="center"/>
    </xf>
    <xf numFmtId="0" fontId="18" fillId="8" borderId="5" applyBorder="0" applyAlignment="0">
      <alignment horizontal="centerContinuous" vertical="center"/>
    </xf>
    <xf numFmtId="49" fontId="16" fillId="9" borderId="6">
      <alignment horizontal="left" vertical="center"/>
    </xf>
    <xf numFmtId="49" fontId="16" fillId="10" borderId="6" applyBorder="0">
      <alignment horizontal="left" vertical="center"/>
    </xf>
    <xf numFmtId="49" fontId="16" fillId="8" borderId="6" applyBorder="0">
      <alignment horizontal="left" vertical="center"/>
    </xf>
    <xf numFmtId="49" fontId="16" fillId="11" borderId="6" applyBorder="0">
      <alignment horizontal="left" vertical="center"/>
    </xf>
    <xf numFmtId="0" fontId="19" fillId="4" borderId="7"/>
    <xf numFmtId="0" fontId="3" fillId="0" borderId="8">
      <alignment horizontal="right" vertical="center"/>
    </xf>
    <xf numFmtId="179" fontId="20" fillId="0" borderId="8" applyFont="0">
      <alignment horizontal="right" vertical="center"/>
      <protection locked="0"/>
    </xf>
    <xf numFmtId="179" fontId="21" fillId="0" borderId="8">
      <alignment horizontal="right" vertical="center"/>
      <protection locked="0"/>
    </xf>
    <xf numFmtId="179" fontId="21" fillId="0" borderId="8">
      <alignment horizontal="right" vertical="center"/>
      <protection locked="0"/>
    </xf>
    <xf numFmtId="179" fontId="20" fillId="0" borderId="8" applyFont="0">
      <alignment horizontal="right" vertical="center"/>
      <protection locked="0"/>
    </xf>
    <xf numFmtId="49" fontId="22" fillId="5" borderId="9">
      <alignment horizontal="center" vertical="center" wrapText="1"/>
    </xf>
    <xf numFmtId="49" fontId="23" fillId="6" borderId="9">
      <alignment horizontal="center" vertical="center" wrapText="1"/>
    </xf>
    <xf numFmtId="49" fontId="16" fillId="3" borderId="9">
      <alignment horizontal="center" vertical="center" wrapText="1"/>
    </xf>
    <xf numFmtId="49" fontId="3" fillId="0" borderId="8">
      <alignment vertical="center"/>
    </xf>
    <xf numFmtId="49" fontId="21" fillId="0" borderId="8">
      <alignment vertical="center"/>
    </xf>
    <xf numFmtId="0" fontId="24" fillId="8" borderId="7">
      <alignment vertical="center"/>
    </xf>
    <xf numFmtId="49" fontId="25" fillId="7" borderId="9">
      <alignment horizontal="center" vertical="center" wrapText="1"/>
    </xf>
    <xf numFmtId="49" fontId="25" fillId="9" borderId="9">
      <alignment horizontal="center" vertical="center" wrapText="1"/>
    </xf>
    <xf numFmtId="49" fontId="23" fillId="2" borderId="10">
      <alignment horizontal="center" vertical="center" wrapText="1"/>
    </xf>
    <xf numFmtId="49" fontId="25" fillId="10" borderId="9">
      <alignment horizontal="center" vertical="center" wrapText="1"/>
    </xf>
    <xf numFmtId="49" fontId="21" fillId="0" borderId="8">
      <alignment vertical="center"/>
    </xf>
    <xf numFmtId="49" fontId="26" fillId="0" borderId="8">
      <alignment horizontal="center" vertical="center" wrapText="1"/>
    </xf>
    <xf numFmtId="49" fontId="27" fillId="8" borderId="9">
      <alignment horizontal="center" vertical="center" wrapText="1"/>
    </xf>
    <xf numFmtId="0" fontId="3" fillId="0" borderId="5">
      <alignment horizontal="right" vertical="center"/>
    </xf>
    <xf numFmtId="49" fontId="23" fillId="11" borderId="9">
      <alignment horizontal="center" vertical="center" wrapText="1"/>
    </xf>
    <xf numFmtId="182" fontId="3" fillId="0" borderId="11">
      <alignment horizontal="right" vertical="center"/>
    </xf>
    <xf numFmtId="182" fontId="3" fillId="0" borderId="12">
      <alignment horizontal="right" vertical="center"/>
    </xf>
    <xf numFmtId="183" fontId="3" fillId="0" borderId="11">
      <alignment horizontal="right" vertical="center"/>
    </xf>
    <xf numFmtId="183" fontId="3" fillId="0" borderId="12">
      <alignment horizontal="right" vertical="center"/>
    </xf>
    <xf numFmtId="49" fontId="3" fillId="0" borderId="12">
      <alignment vertical="center" wrapText="1"/>
    </xf>
    <xf numFmtId="0" fontId="3" fillId="0" borderId="11">
      <alignment horizontal="justify" vertical="center" wrapText="1"/>
    </xf>
    <xf numFmtId="49" fontId="3" fillId="0" borderId="11">
      <alignment vertical="center" wrapText="1"/>
    </xf>
    <xf numFmtId="49" fontId="3" fillId="0" borderId="11">
      <alignment vertical="center" wrapText="1"/>
    </xf>
    <xf numFmtId="49" fontId="28" fillId="0" borderId="11">
      <alignment vertical="center" wrapText="1"/>
    </xf>
    <xf numFmtId="49" fontId="3" fillId="0" borderId="11">
      <alignment vertical="center" wrapText="1"/>
    </xf>
    <xf numFmtId="49" fontId="3" fillId="0" borderId="12">
      <alignment vertical="center" wrapText="1"/>
    </xf>
    <xf numFmtId="0" fontId="29" fillId="0" borderId="0">
      <alignment horizontal="left" vertical="center"/>
    </xf>
    <xf numFmtId="184" fontId="3" fillId="0" borderId="12">
      <alignment horizontal="right" vertical="center"/>
    </xf>
    <xf numFmtId="184" fontId="3" fillId="0" borderId="12">
      <alignment horizontal="right" vertical="center"/>
    </xf>
    <xf numFmtId="184" fontId="3" fillId="0" borderId="11">
      <alignment horizontal="right" vertical="center"/>
    </xf>
    <xf numFmtId="184" fontId="3" fillId="0" borderId="11">
      <alignment horizontal="right" vertical="center"/>
    </xf>
    <xf numFmtId="184" fontId="3" fillId="0" borderId="12">
      <alignment horizontal="right" vertical="center"/>
    </xf>
    <xf numFmtId="49" fontId="30" fillId="12" borderId="9">
      <alignment horizontal="centerContinuous" vertical="center" wrapText="1"/>
    </xf>
    <xf numFmtId="49" fontId="31" fillId="7" borderId="9">
      <alignment horizontal="center" vertical="center" wrapText="1"/>
    </xf>
    <xf numFmtId="49" fontId="31" fillId="7" borderId="9">
      <alignment horizontal="center" vertical="center" wrapText="1"/>
    </xf>
    <xf numFmtId="49" fontId="31" fillId="7" borderId="13">
      <alignment horizontal="center" vertical="center" wrapText="1"/>
    </xf>
    <xf numFmtId="49" fontId="16" fillId="7" borderId="9">
      <alignment horizontal="center" vertical="center" wrapText="1"/>
    </xf>
    <xf numFmtId="49" fontId="16" fillId="7" borderId="9">
      <alignment horizontal="center" vertical="center" wrapText="1"/>
    </xf>
    <xf numFmtId="49" fontId="31" fillId="7" borderId="9">
      <alignment horizontal="center" vertical="center" wrapText="1"/>
    </xf>
    <xf numFmtId="49" fontId="31" fillId="7" borderId="13">
      <alignment horizontal="center" vertical="center" wrapText="1"/>
    </xf>
    <xf numFmtId="49" fontId="31" fillId="12" borderId="9">
      <alignment horizontal="centerContinuous" vertical="center" wrapText="1"/>
    </xf>
    <xf numFmtId="49" fontId="3" fillId="0" borderId="0">
      <alignment vertical="center"/>
    </xf>
    <xf numFmtId="49" fontId="26" fillId="0" borderId="0">
      <alignment vertical="center"/>
    </xf>
    <xf numFmtId="49" fontId="26" fillId="0" borderId="0">
      <alignment vertical="center"/>
    </xf>
    <xf numFmtId="49" fontId="26" fillId="0" borderId="0">
      <alignment vertical="center"/>
    </xf>
    <xf numFmtId="49" fontId="3" fillId="0" borderId="0">
      <alignment vertical="center"/>
    </xf>
    <xf numFmtId="49" fontId="3" fillId="0" borderId="0">
      <alignment vertical="center"/>
    </xf>
    <xf numFmtId="49" fontId="3" fillId="0" borderId="0">
      <alignment vertical="center"/>
    </xf>
    <xf numFmtId="49" fontId="3" fillId="0" borderId="0">
      <alignment vertical="center"/>
    </xf>
    <xf numFmtId="49" fontId="3" fillId="0" borderId="0">
      <alignment vertical="center"/>
    </xf>
    <xf numFmtId="49" fontId="26" fillId="0" borderId="0">
      <alignment vertical="center"/>
    </xf>
    <xf numFmtId="49" fontId="32" fillId="0" borderId="0">
      <alignment horizontal="left" vertical="center"/>
    </xf>
    <xf numFmtId="49" fontId="33" fillId="3" borderId="1" applyFont="0" applyFill="0">
      <alignment horizontal="center" vertical="center" wrapText="1"/>
    </xf>
    <xf numFmtId="0" fontId="34" fillId="4" borderId="7"/>
    <xf numFmtId="49" fontId="16" fillId="5" borderId="7">
      <alignment horizontal="left" vertical="center"/>
    </xf>
    <xf numFmtId="49" fontId="16" fillId="6" borderId="7">
      <alignment horizontal="left" vertical="center"/>
    </xf>
    <xf numFmtId="49" fontId="16" fillId="3" borderId="7">
      <alignment horizontal="left" vertical="center"/>
    </xf>
    <xf numFmtId="49" fontId="35" fillId="8" borderId="7">
      <alignment horizontal="left" vertical="center"/>
    </xf>
    <xf numFmtId="49" fontId="16" fillId="7" borderId="7">
      <alignment horizontal="left" vertical="center"/>
    </xf>
    <xf numFmtId="49" fontId="16" fillId="9" borderId="7">
      <alignment horizontal="left" vertical="center"/>
    </xf>
    <xf numFmtId="49" fontId="16" fillId="2" borderId="14">
      <alignment horizontal="left" vertical="center"/>
    </xf>
    <xf numFmtId="49" fontId="16" fillId="10" borderId="7">
      <alignment horizontal="left" vertical="center"/>
    </xf>
    <xf numFmtId="49" fontId="16" fillId="13" borderId="9" applyAlignment="0">
      <alignment horizontal="center" vertical="center" wrapText="1"/>
    </xf>
    <xf numFmtId="49" fontId="16" fillId="11" borderId="7">
      <alignment horizontal="left" vertical="center"/>
    </xf>
    <xf numFmtId="49" fontId="16" fillId="8" borderId="7">
      <alignment horizontal="left" vertical="center"/>
    </xf>
    <xf numFmtId="0" fontId="3" fillId="0" borderId="5" applyFont="0" applyAlignment="0">
      <alignment horizontal="right" vertical="center"/>
    </xf>
    <xf numFmtId="1" fontId="12" fillId="14" borderId="0" applyFill="0">
      <alignment horizontal="center" vertical="center"/>
    </xf>
    <xf numFmtId="185" fontId="23" fillId="0" borderId="0" applyFont="0" applyFill="0" applyBorder="0" applyAlignment="0" applyProtection="0"/>
  </cellStyleXfs>
  <cellXfs count="92">
    <xf numFmtId="0" fontId="0" fillId="0" borderId="0" xfId="0"/>
    <xf numFmtId="0" fontId="2" fillId="0" borderId="0" xfId="0" applyFont="1" applyFill="1" applyBorder="1"/>
    <xf numFmtId="170" fontId="2" fillId="0" borderId="0" xfId="0" applyNumberFormat="1" applyFont="1" applyFill="1" applyBorder="1"/>
    <xf numFmtId="3" fontId="4" fillId="0" borderId="0" xfId="0" applyNumberFormat="1" applyFont="1" applyFill="1" applyBorder="1"/>
    <xf numFmtId="0" fontId="0" fillId="0" borderId="0" xfId="0" applyFill="1" applyBorder="1"/>
    <xf numFmtId="0" fontId="5" fillId="0" borderId="0" xfId="0" applyFont="1" applyFill="1" applyBorder="1"/>
    <xf numFmtId="171" fontId="5" fillId="0" borderId="0" xfId="0" applyNumberFormat="1" applyFont="1" applyFill="1" applyBorder="1"/>
    <xf numFmtId="170" fontId="0" fillId="0" borderId="0" xfId="0" applyNumberFormat="1" applyFill="1" applyBorder="1"/>
    <xf numFmtId="3" fontId="2" fillId="0" borderId="0" xfId="0" applyNumberFormat="1" applyFont="1" applyFill="1" applyBorder="1"/>
    <xf numFmtId="1" fontId="38" fillId="0" borderId="0" xfId="19" applyFont="1" applyAlignment="1"/>
    <xf numFmtId="1" fontId="6" fillId="0" borderId="0" xfId="19" applyFont="1" applyAlignment="1"/>
    <xf numFmtId="0" fontId="6" fillId="0" borderId="0" xfId="0" applyFont="1"/>
    <xf numFmtId="0" fontId="2" fillId="0" borderId="0" xfId="0" applyFont="1"/>
    <xf numFmtId="170" fontId="8" fillId="0" borderId="0" xfId="0" applyNumberFormat="1" applyFont="1" applyAlignment="1">
      <alignment vertical="center"/>
    </xf>
    <xf numFmtId="0" fontId="2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170" fontId="2" fillId="0" borderId="0" xfId="0" applyNumberFormat="1" applyFont="1"/>
    <xf numFmtId="0" fontId="2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/>
    </xf>
    <xf numFmtId="170" fontId="2" fillId="0" borderId="15" xfId="0" applyNumberFormat="1" applyFont="1" applyFill="1" applyBorder="1" applyAlignment="1">
      <alignment horizontal="right" vertical="center" wrapText="1"/>
    </xf>
    <xf numFmtId="0" fontId="2" fillId="0" borderId="0" xfId="0" applyFont="1" applyFill="1" applyBorder="1" applyAlignment="1">
      <alignment horizontal="right" vertical="center" wrapText="1"/>
    </xf>
    <xf numFmtId="170" fontId="2" fillId="0" borderId="16" xfId="0" applyNumberFormat="1" applyFont="1" applyFill="1" applyBorder="1" applyAlignment="1">
      <alignment horizontal="right" vertical="center" wrapText="1"/>
    </xf>
    <xf numFmtId="3" fontId="2" fillId="0" borderId="0" xfId="0" applyNumberFormat="1" applyFont="1" applyFill="1" applyBorder="1" applyAlignment="1">
      <alignment vertical="center"/>
    </xf>
    <xf numFmtId="172" fontId="2" fillId="0" borderId="0" xfId="0" applyNumberFormat="1" applyFont="1" applyFill="1" applyBorder="1" applyAlignment="1">
      <alignment vertical="center"/>
    </xf>
    <xf numFmtId="173" fontId="2" fillId="0" borderId="0" xfId="0" applyNumberFormat="1" applyFont="1" applyFill="1" applyBorder="1" applyAlignment="1">
      <alignment vertical="center"/>
    </xf>
    <xf numFmtId="170" fontId="2" fillId="0" borderId="0" xfId="0" applyNumberFormat="1" applyFont="1" applyAlignment="1">
      <alignment vertical="center"/>
    </xf>
    <xf numFmtId="170" fontId="2" fillId="0" borderId="0" xfId="0" applyNumberFormat="1" applyFont="1" applyFill="1" applyBorder="1" applyAlignment="1">
      <alignment vertical="center"/>
    </xf>
    <xf numFmtId="170" fontId="0" fillId="0" borderId="0" xfId="0" applyNumberFormat="1" applyFill="1" applyBorder="1" applyAlignment="1">
      <alignment vertical="center"/>
    </xf>
    <xf numFmtId="170" fontId="5" fillId="0" borderId="0" xfId="0" applyNumberFormat="1" applyFont="1" applyFill="1" applyBorder="1" applyAlignment="1">
      <alignment vertical="center"/>
    </xf>
    <xf numFmtId="175" fontId="5" fillId="0" borderId="0" xfId="0" applyNumberFormat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/>
    </xf>
    <xf numFmtId="173" fontId="2" fillId="0" borderId="0" xfId="0" applyNumberFormat="1" applyFont="1" applyFill="1" applyBorder="1"/>
    <xf numFmtId="170" fontId="5" fillId="0" borderId="0" xfId="0" applyNumberFormat="1" applyFont="1" applyFill="1" applyBorder="1"/>
    <xf numFmtId="175" fontId="5" fillId="0" borderId="0" xfId="0" applyNumberFormat="1" applyFont="1" applyFill="1" applyBorder="1"/>
    <xf numFmtId="0" fontId="2" fillId="0" borderId="0" xfId="0" applyFont="1" applyFill="1" applyAlignment="1">
      <alignment vertical="center"/>
    </xf>
    <xf numFmtId="0" fontId="2" fillId="0" borderId="0" xfId="0" applyFont="1" applyFill="1"/>
    <xf numFmtId="0" fontId="2" fillId="0" borderId="0" xfId="0" applyNumberFormat="1" applyFont="1" applyFill="1" applyBorder="1" applyAlignment="1">
      <alignment horizontal="right" vertical="center"/>
    </xf>
    <xf numFmtId="1" fontId="2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16" xfId="0" applyFont="1" applyFill="1" applyBorder="1" applyAlignment="1">
      <alignment horizontal="left" vertical="center"/>
    </xf>
    <xf numFmtId="172" fontId="2" fillId="0" borderId="16" xfId="0" applyNumberFormat="1" applyFont="1" applyFill="1" applyBorder="1" applyAlignment="1">
      <alignment vertical="center"/>
    </xf>
    <xf numFmtId="173" fontId="2" fillId="0" borderId="16" xfId="0" applyNumberFormat="1" applyFont="1" applyFill="1" applyBorder="1" applyAlignment="1">
      <alignment vertical="center"/>
    </xf>
    <xf numFmtId="170" fontId="2" fillId="0" borderId="16" xfId="0" applyNumberFormat="1" applyFont="1" applyFill="1" applyBorder="1" applyAlignment="1">
      <alignment vertical="center"/>
    </xf>
    <xf numFmtId="0" fontId="4" fillId="0" borderId="0" xfId="0" applyFont="1" applyFill="1" applyAlignment="1">
      <alignment horizontal="left" vertical="center"/>
    </xf>
    <xf numFmtId="3" fontId="4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171" fontId="5" fillId="0" borderId="0" xfId="0" applyNumberFormat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2" fillId="0" borderId="17" xfId="0" applyFont="1" applyBorder="1"/>
    <xf numFmtId="0" fontId="36" fillId="0" borderId="0" xfId="0" applyFont="1" applyFill="1" applyBorder="1"/>
    <xf numFmtId="3" fontId="0" fillId="0" borderId="0" xfId="0" applyNumberFormat="1" applyFill="1" applyBorder="1"/>
    <xf numFmtId="0" fontId="4" fillId="0" borderId="0" xfId="0" applyFont="1" applyFill="1" applyBorder="1" applyAlignment="1"/>
    <xf numFmtId="0" fontId="37" fillId="0" borderId="0" xfId="0" applyFont="1" applyFill="1" applyBorder="1"/>
    <xf numFmtId="0" fontId="1" fillId="0" borderId="0" xfId="0" applyFont="1" applyFill="1" applyBorder="1"/>
    <xf numFmtId="3" fontId="2" fillId="0" borderId="16" xfId="0" applyNumberFormat="1" applyFont="1" applyFill="1" applyBorder="1" applyAlignment="1">
      <alignment vertical="center"/>
    </xf>
    <xf numFmtId="3" fontId="36" fillId="0" borderId="0" xfId="0" applyNumberFormat="1" applyFont="1" applyFill="1" applyBorder="1"/>
    <xf numFmtId="3" fontId="0" fillId="0" borderId="0" xfId="0" applyNumberFormat="1" applyBorder="1"/>
    <xf numFmtId="0" fontId="39" fillId="0" borderId="18" xfId="0" applyNumberFormat="1" applyFont="1" applyBorder="1" applyAlignment="1">
      <alignment horizontal="left" wrapText="1"/>
    </xf>
    <xf numFmtId="192" fontId="39" fillId="0" borderId="18" xfId="0" applyNumberFormat="1" applyFont="1" applyBorder="1" applyAlignment="1">
      <alignment horizontal="right" wrapText="1"/>
    </xf>
    <xf numFmtId="0" fontId="40" fillId="0" borderId="18" xfId="0" applyNumberFormat="1" applyFont="1" applyBorder="1" applyAlignment="1">
      <alignment horizontal="left" wrapText="1"/>
    </xf>
    <xf numFmtId="0" fontId="39" fillId="15" borderId="18" xfId="0" applyNumberFormat="1" applyFont="1" applyFill="1" applyBorder="1" applyAlignment="1">
      <alignment horizontal="left" wrapText="1"/>
    </xf>
    <xf numFmtId="1" fontId="0" fillId="0" borderId="0" xfId="0" applyNumberFormat="1"/>
    <xf numFmtId="0" fontId="0" fillId="15" borderId="0" xfId="0" applyFill="1"/>
    <xf numFmtId="1" fontId="0" fillId="15" borderId="0" xfId="0" applyNumberFormat="1" applyFill="1"/>
    <xf numFmtId="171" fontId="0" fillId="0" borderId="0" xfId="0" applyNumberFormat="1" applyFill="1" applyBorder="1"/>
    <xf numFmtId="192" fontId="39" fillId="0" borderId="0" xfId="0" applyNumberFormat="1" applyFont="1" applyBorder="1" applyAlignment="1">
      <alignment horizontal="right" wrapText="1"/>
    </xf>
    <xf numFmtId="0" fontId="0" fillId="0" borderId="0" xfId="0" applyBorder="1"/>
    <xf numFmtId="192" fontId="0" fillId="0" borderId="0" xfId="0" applyNumberFormat="1" applyBorder="1"/>
    <xf numFmtId="1" fontId="0" fillId="0" borderId="0" xfId="0" applyNumberFormat="1" applyBorder="1"/>
    <xf numFmtId="192" fontId="36" fillId="0" borderId="0" xfId="0" applyNumberFormat="1" applyFont="1"/>
    <xf numFmtId="3" fontId="2" fillId="0" borderId="0" xfId="0" applyNumberFormat="1" applyFont="1" applyFill="1" applyAlignmen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39" fillId="0" borderId="0" xfId="0" applyNumberFormat="1" applyFont="1" applyBorder="1" applyAlignment="1">
      <alignment horizontal="left" wrapText="1"/>
    </xf>
    <xf numFmtId="0" fontId="2" fillId="0" borderId="0" xfId="0" applyFont="1" applyBorder="1"/>
    <xf numFmtId="0" fontId="0" fillId="0" borderId="0" xfId="0" applyAlignment="1"/>
    <xf numFmtId="0" fontId="39" fillId="0" borderId="0" xfId="0" applyNumberFormat="1" applyFont="1" applyFill="1" applyBorder="1" applyAlignment="1">
      <alignment horizontal="left" wrapText="1"/>
    </xf>
    <xf numFmtId="170" fontId="2" fillId="0" borderId="0" xfId="0" applyNumberFormat="1" applyFont="1" applyFill="1" applyAlignment="1">
      <alignment vertical="center"/>
    </xf>
    <xf numFmtId="170" fontId="39" fillId="0" borderId="0" xfId="0" applyNumberFormat="1" applyFont="1" applyFill="1" applyBorder="1" applyAlignment="1">
      <alignment horizontal="left" wrapText="1"/>
    </xf>
    <xf numFmtId="3" fontId="2" fillId="0" borderId="0" xfId="0" applyNumberFormat="1" applyFont="1"/>
    <xf numFmtId="0" fontId="7" fillId="0" borderId="0" xfId="0" applyFont="1" applyFill="1" applyAlignment="1">
      <alignment horizontal="left" vertical="center" wrapText="1"/>
    </xf>
    <xf numFmtId="0" fontId="8" fillId="0" borderId="0" xfId="0" applyFont="1" applyFill="1" applyAlignment="1">
      <alignment horizontal="left" vertical="center" wrapText="1"/>
    </xf>
    <xf numFmtId="0" fontId="2" fillId="0" borderId="15" xfId="0" applyFont="1" applyFill="1" applyBorder="1" applyAlignment="1">
      <alignment horizontal="left" vertical="center" wrapText="1"/>
    </xf>
    <xf numFmtId="0" fontId="2" fillId="0" borderId="16" xfId="0" applyFont="1" applyFill="1" applyBorder="1" applyAlignment="1">
      <alignment horizontal="left" vertical="center" wrapText="1"/>
    </xf>
    <xf numFmtId="0" fontId="2" fillId="0" borderId="17" xfId="0" applyFont="1" applyFill="1" applyBorder="1" applyAlignment="1">
      <alignment horizontal="center" vertical="center"/>
    </xf>
    <xf numFmtId="170" fontId="2" fillId="0" borderId="15" xfId="0" applyNumberFormat="1" applyFont="1" applyFill="1" applyBorder="1" applyAlignment="1">
      <alignment horizontal="right" vertical="center" wrapText="1"/>
    </xf>
    <xf numFmtId="170" fontId="2" fillId="0" borderId="16" xfId="0" applyNumberFormat="1" applyFont="1" applyFill="1" applyBorder="1" applyAlignment="1">
      <alignment horizontal="right" vertical="center" wrapText="1"/>
    </xf>
    <xf numFmtId="1" fontId="2" fillId="0" borderId="17" xfId="0" applyNumberFormat="1" applyFont="1" applyFill="1" applyBorder="1" applyAlignment="1">
      <alignment horizontal="center" vertical="center" wrapText="1"/>
    </xf>
    <xf numFmtId="170" fontId="2" fillId="0" borderId="0" xfId="0" applyNumberFormat="1" applyFont="1" applyFill="1" applyBorder="1" applyAlignment="1">
      <alignment horizontal="center" vertical="center" wrapText="1"/>
    </xf>
  </cellXfs>
  <cellStyles count="107">
    <cellStyle name="Anno" xfId="1" xr:uid="{51CD5140-EA48-4B86-BB72-D1C1E19D5B78}"/>
    <cellStyle name="Anno (bordo)" xfId="2" xr:uid="{9EDFC304-C793-49DA-9EB1-01605F4D9C16}"/>
    <cellStyle name="Codice" xfId="3" xr:uid="{63C05E30-F453-4E16-B522-FCDA0C00B13D}"/>
    <cellStyle name="Decimale 1" xfId="4" xr:uid="{EF86A8B5-D623-4A95-8521-029EFA578E3B}"/>
    <cellStyle name="Decimale 2" xfId="5" xr:uid="{A98F236B-3786-4538-B222-601AB3937BAF}"/>
    <cellStyle name="Descrizione" xfId="6" xr:uid="{BDC6E73A-ECA3-4A43-A489-4054448A5212}"/>
    <cellStyle name="Euro" xfId="7" xr:uid="{2D383B28-039A-41F8-9001-03DB7D0FB7EF}"/>
    <cellStyle name="Fiancata" xfId="8" xr:uid="{F470A236-A3B6-4DE5-80E2-780DA1C2BFB6}"/>
    <cellStyle name="Gruppo" xfId="9" xr:uid="{14E56978-32AD-4419-9E99-9899AAFACFDC}"/>
    <cellStyle name="Intero" xfId="10" xr:uid="{F75E22E7-F995-4F34-B064-5D0A0817652D}"/>
    <cellStyle name="Intestazione" xfId="11" xr:uid="{13FB0F82-9CB2-43DF-9C59-3EDD02C8BD0A}"/>
    <cellStyle name="Migliaia (0)_6col" xfId="12" xr:uid="{3F6FEC2D-AAC8-4EF4-8BDA-80B31080CC6C}"/>
    <cellStyle name="Migliaia 2" xfId="13" xr:uid="{066D13AC-118D-463F-8790-8E7173472B9A}"/>
    <cellStyle name="Normal_Sheet1" xfId="14" xr:uid="{729F89F1-3B37-4D7C-A579-62FB3F3BAF33}"/>
    <cellStyle name="Normale" xfId="0" builtinId="0"/>
    <cellStyle name="Normale 2" xfId="15" xr:uid="{5A8D6295-AD47-4EBD-A198-CC3657CBDC16}"/>
    <cellStyle name="Normale 2 2" xfId="16" xr:uid="{5535C9C0-4206-4EAD-8484-607CA4090590}"/>
    <cellStyle name="Normale 3" xfId="17" xr:uid="{C86B1F65-746E-48FB-BEBB-38DBD816E88E}"/>
    <cellStyle name="Normale 4" xfId="18" xr:uid="{2F6C2744-FA1E-4FF8-831E-F20E2D3B0F9D}"/>
    <cellStyle name="Normale_S11I02_DEFINITIVA" xfId="19" xr:uid="{EF6E690F-8BD6-43BF-B2ED-7BEE562ACF5A}"/>
    <cellStyle name="Note" xfId="20" xr:uid="{EE28F6C4-F852-4841-BC65-A6CF81EBEAC1}"/>
    <cellStyle name="Nuovo" xfId="21" xr:uid="{EB4AD74D-8AE6-413E-8A27-96E6F503021E}"/>
    <cellStyle name="Riempimenti Periodo rif" xfId="22" xr:uid="{CAD7E267-7D8F-4EF2-8EBE-66817F8349E3}"/>
    <cellStyle name="Riempimento cod. var." xfId="23" xr:uid="{61065E51-B595-47F6-8600-46223FF521F2}"/>
    <cellStyle name="Riempimento dato provvisorio" xfId="24" xr:uid="{8E1C4F22-B7E3-4D43-B288-48CA0BB031E8}"/>
    <cellStyle name="Riempimento fonte" xfId="25" xr:uid="{1F2BFA9B-5D42-4E52-B86F-6A6D4AC67F7C}"/>
    <cellStyle name="Riempimento N. province" xfId="26" xr:uid="{44029A17-19F8-4C9B-BFC3-F1521899BB54}"/>
    <cellStyle name="Riempimento nata anno" xfId="27" xr:uid="{E07C0AE8-06F0-4011-B676-73F7172D23FF}"/>
    <cellStyle name="Riempimento nome var" xfId="28" xr:uid="{2AA64FC7-8987-4D32-921C-DB01A7C5009C}"/>
    <cellStyle name="Riempimento nota serie" xfId="29" xr:uid="{FB3DC7A5-C320-4A59-A24D-8377649D080D}"/>
    <cellStyle name="riempimento pubblicazione" xfId="30" xr:uid="{2D4408B4-C709-4EB2-85E6-8E95489E43BA}"/>
    <cellStyle name="Riempimento status verifica" xfId="31" xr:uid="{2EE494C2-0BA4-457A-9B2A-AF0D8B9B3DBF}"/>
    <cellStyle name="Riempimento Unità misura" xfId="32" xr:uid="{12F6CE1D-686E-46B8-B1B8-6C69C7E8834B}"/>
    <cellStyle name="Stile Codice var." xfId="33" xr:uid="{32B223E0-1C36-42E9-9879-3135D44A34B1}"/>
    <cellStyle name="Stile Codici numerici" xfId="34" xr:uid="{6607C008-7CD1-4A5C-89D4-D69D24D57FA0}"/>
    <cellStyle name="Stile Dati" xfId="35" xr:uid="{B655CA45-42AB-41AF-A1BB-F874C3992303}"/>
    <cellStyle name="Stile Dati Rag terr" xfId="36" xr:uid="{ACB73F62-5F5E-4F8E-9350-3EF336323DBC}"/>
    <cellStyle name="Stile Dati Regioni" xfId="37" xr:uid="{838800CF-C1A7-4B70-BD2E-859318170B38}"/>
    <cellStyle name="Stile Dati_Cartel1" xfId="38" xr:uid="{8FBD2AD2-C7BF-4ADA-A62D-CB4E9422F261}"/>
    <cellStyle name="Stile Dato provvisorio" xfId="39" xr:uid="{AF91D0D5-EF5B-44E8-8B9E-F89DF8F34683}"/>
    <cellStyle name="Stile Fonte" xfId="40" xr:uid="{8D08FEF0-BA50-4B6C-A638-328E6C997B81}"/>
    <cellStyle name="Stile N. province" xfId="41" xr:uid="{8D1392C2-F602-45D8-9315-73C2192ABD31}"/>
    <cellStyle name="Stile Nome province" xfId="42" xr:uid="{DA915DFE-DCA8-4D11-A1ED-60AAAA83A636}"/>
    <cellStyle name="Stile Nome regioni" xfId="43" xr:uid="{DB8591E2-0772-4FE9-9881-7B4338152E97}"/>
    <cellStyle name="Stile Nome var." xfId="44" xr:uid="{4CCFF575-7085-418A-8C02-E09B3266A617}"/>
    <cellStyle name="Stile Nota anno" xfId="45" xr:uid="{BA72514A-0EE9-4A90-B3D4-F7AD9A36BB29}"/>
    <cellStyle name="Stile nota serie" xfId="46" xr:uid="{353359B4-FD93-47E4-B14D-131D1F4A37A5}"/>
    <cellStyle name="Stile Periodo riferimento" xfId="47" xr:uid="{9AA2A049-C8D2-45A5-AC67-E0F06B7E4D45}"/>
    <cellStyle name="Stile Pubblicazione" xfId="48" xr:uid="{71C1C124-556A-43D7-98C2-68AA12D2009E}"/>
    <cellStyle name="Stile Raggr territoriali" xfId="49" xr:uid="{65B7325A-83D1-4E2C-9F89-89C570B4CB78}"/>
    <cellStyle name="Stile Sigle province" xfId="50" xr:uid="{5689C3B0-84DE-4EB4-A8EE-29BF36B8FA90}"/>
    <cellStyle name="Stile Status verifica" xfId="51" xr:uid="{C8532ACA-C3D1-4307-9609-B8EE0F9A26FE}"/>
    <cellStyle name="Stile Ultima riga" xfId="52" xr:uid="{61B98124-F691-43D8-BB69-5BB7C966E469}"/>
    <cellStyle name="Stile Unità misura" xfId="53" xr:uid="{7C5117F5-1D1A-4C41-9B93-3CB97DBB189B}"/>
    <cellStyle name="T_decimale(1)" xfId="54" xr:uid="{70B176F0-B542-4436-A3F2-3395F98B0565}"/>
    <cellStyle name="T_decimale(1)_dati comuni" xfId="55" xr:uid="{203691CA-B8B9-4EBD-9F6A-3407B301DD4F}"/>
    <cellStyle name="T_decimale(2)" xfId="56" xr:uid="{B974730E-2EBD-4E41-A533-2D8594BB9ECA}"/>
    <cellStyle name="T_decimale(2)_dati comuni" xfId="57" xr:uid="{BEFA824A-309A-42D8-A45E-7F56C66CA6B2}"/>
    <cellStyle name="T_fiancata" xfId="58" xr:uid="{68482862-D63B-4A80-8A6F-C91F1147B11C}"/>
    <cellStyle name="T_fiancata_20030707 - Metadati indicatori regionali" xfId="59" xr:uid="{50137180-D6ED-4DBC-A507-C0DE47E25E12}"/>
    <cellStyle name="T_fiancata_Capitolo 2 -  tavole e grafici" xfId="60" xr:uid="{5B83F18F-11E3-4692-9183-E5403CE3FDA5}"/>
    <cellStyle name="T_fiancata_Cartel2" xfId="61" xr:uid="{A90C6A14-EB4C-4B24-A7B3-315EC3025D87}"/>
    <cellStyle name="T_fiancata_ind" xfId="62" xr:uid="{0BE59960-7257-4569-8A8D-FE7C7B24F392}"/>
    <cellStyle name="T_fiancata_Ind_12.3" xfId="63" xr:uid="{8FE82985-BB70-4869-A919-A10C274CE2F7}"/>
    <cellStyle name="T_fiancata_Ind_13.2" xfId="64" xr:uid="{DA453E72-5B87-476A-B1BC-8F824DD277E6}"/>
    <cellStyle name="T_fonte" xfId="65" xr:uid="{E5F1F408-982A-4605-9365-5C01CFA1B117}"/>
    <cellStyle name="T_intero" xfId="66" xr:uid="{0404E13D-0B69-49FC-A9C9-179BC0ED48A6}"/>
    <cellStyle name="T_intero_ASSE I - Indicatori QCS 2000-06" xfId="67" xr:uid="{0F537934-BB96-48CE-958F-CF7024D02264}"/>
    <cellStyle name="T_intero_Cartel2" xfId="68" xr:uid="{8C907F88-9403-49C7-9121-5C6A28A63787}"/>
    <cellStyle name="T_intero_Ind_12.3" xfId="69" xr:uid="{68F35C8A-A0DE-480C-BE6A-7D3D0C0DCEEB}"/>
    <cellStyle name="T_intero_Ind_13.2" xfId="70" xr:uid="{563D4976-4594-4577-8DFB-DD30DCA6CF06}"/>
    <cellStyle name="T_intestazione" xfId="71" xr:uid="{962B9517-E38C-4EA4-BE46-DCB32FE04920}"/>
    <cellStyle name="T_intestazione bassa" xfId="72" xr:uid="{7ABD8B54-342C-4E88-81DD-1B1A8BCC8B20}"/>
    <cellStyle name="T_intestazione bassa_ASSE I - Indicatori QCS 2000-06" xfId="73" xr:uid="{79A42896-05AA-49E8-8911-647C7E993FBA}"/>
    <cellStyle name="T_intestazione bassa_ASSE VI - Indicatori QCS 2000-06" xfId="74" xr:uid="{052677DF-B6DE-4514-9413-7BD81AD327AF}"/>
    <cellStyle name="T_intestazione bassa_Cartel2" xfId="75" xr:uid="{59170B3E-F474-4E66-9B9D-08487611322B}"/>
    <cellStyle name="T_intestazione bassa_Ind_12.3" xfId="76" xr:uid="{3D8EF9E0-CB3C-42C5-84E5-959A29C7B5EE}"/>
    <cellStyle name="T_intestazione bassa_Ind_13.2" xfId="77" xr:uid="{76BEFE22-C6C1-491D-AFB9-4D98EF1382BD}"/>
    <cellStyle name="T_intestazione bassa_Indicatori Asse VI" xfId="78" xr:uid="{7044F216-216A-40D4-B984-A7CE431B83D8}"/>
    <cellStyle name="T_intestazione_dati comuni" xfId="79" xr:uid="{A361C770-6A2A-423A-A971-4B1F346F220F}"/>
    <cellStyle name="T_sottotitolo" xfId="80" xr:uid="{404016F7-F9B0-4DF9-BEF4-42A63EE49FAE}"/>
    <cellStyle name="T_sottotitolo_20040331 - Istruzione dell'obbligo (scuola elementare e media)" xfId="81" xr:uid="{9CF2B745-EF06-414B-8554-2805950E7064}"/>
    <cellStyle name="T_sottotitolo_20040331 - Istruzione Prescolastica (scuola materna)" xfId="82" xr:uid="{0544F31F-2C1F-4E79-B7E2-EBC82FB9A752}"/>
    <cellStyle name="T_sottotitolo_20040331 - Istruzione Secondaria di secondo grado (scuola scondaria superiore)" xfId="83" xr:uid="{B89AD8C0-1C41-4430-9BF0-2708AAC6558E}"/>
    <cellStyle name="T_sottotitolo_Cartel1" xfId="84" xr:uid="{A7281F34-DF5F-4F6E-98DB-4BD26821B6F9}"/>
    <cellStyle name="T_sottotitolo_Cartel4" xfId="85" xr:uid="{2567615B-0C76-4B5B-AF3E-539EF11D6E16}"/>
    <cellStyle name="T_sottotitolo_Corr ISTRUZIONE STAT 96" xfId="86" xr:uid="{DC4C305D-0EA8-4D01-9B6B-06212AF0CB49}"/>
    <cellStyle name="T_sottotitolo_DBCULTURA" xfId="87" xr:uid="{785888B0-CA08-484B-8445-4395EA65557E}"/>
    <cellStyle name="T_sottotitolo_DBISTRUZIONE" xfId="88" xr:uid="{DBAA2DC4-1735-420C-BE8A-1881A7D81621}"/>
    <cellStyle name="T_sottotitolo_Sintesi Turismo" xfId="89" xr:uid="{DE45D8A0-3AD4-4D0C-95D4-5377C5034227}"/>
    <cellStyle name="T_titolo" xfId="90" xr:uid="{A2DD8473-D2DB-4570-A4D9-1334974BC7FF}"/>
    <cellStyle name="Testata" xfId="91" xr:uid="{D37B3E1F-FFF8-489B-8D81-671843AB08BC}"/>
    <cellStyle name="Testata codice variabile" xfId="92" xr:uid="{64748DD5-2B03-4B60-84EA-5EE16675BAF3}"/>
    <cellStyle name="Testata Dato provvisorio" xfId="93" xr:uid="{2B2960BE-D912-4D8D-BC73-75063A696BD5}"/>
    <cellStyle name="Testata Fonte" xfId="94" xr:uid="{476AC6C3-1A16-4E46-9F03-AAA0A0E9A486}"/>
    <cellStyle name="Testata N. province" xfId="95" xr:uid="{6E2C18B2-62B0-4F94-9946-7745131AF560}"/>
    <cellStyle name="Testata Nome varaibile" xfId="96" xr:uid="{E31D0D7A-0F53-45CA-828A-ECFD4719D944}"/>
    <cellStyle name="Testata Nota anno" xfId="97" xr:uid="{CB12400A-F5CB-46CD-97C5-957B3C8CFBF2}"/>
    <cellStyle name="Testata Nota serie" xfId="98" xr:uid="{F47DFD4F-6571-4710-804E-FBE87A7B240D}"/>
    <cellStyle name="Testata Periodo rif." xfId="99" xr:uid="{EFF99A61-AAE1-48B8-8DE5-D7E4F94E29C4}"/>
    <cellStyle name="Testata Pubblicazione" xfId="100" xr:uid="{B6A04F4A-F84D-44D1-B955-0075FD869988}"/>
    <cellStyle name="Testata Tabella dati" xfId="101" xr:uid="{7D0F606E-585F-4727-89F6-F7A6097E0EB7}"/>
    <cellStyle name="Testata Unità misura" xfId="102" xr:uid="{48036150-DE5B-4732-AF46-6FA455067381}"/>
    <cellStyle name="Tetstata Status verifica" xfId="103" xr:uid="{6610400D-7360-4F26-B989-CD31E8C0F26D}"/>
    <cellStyle name="tile Ultima riga" xfId="104" xr:uid="{7FC011B7-3E43-4B61-BB0C-EBE987B1BD60}"/>
    <cellStyle name="Tracciato" xfId="105" xr:uid="{2736B0DC-F7C9-4C35-A7B8-271B3841B8BA}"/>
    <cellStyle name="Valuta (0)_Indicatori - ALTRI SERVIZI" xfId="106" xr:uid="{C1BAEC83-37DE-40C6-A31C-87529C1A7B4F}"/>
  </cellStyles>
  <dxfs count="3">
    <dxf>
      <font>
        <color rgb="FF006100"/>
      </font>
      <fill>
        <patternFill>
          <bgColor rgb="FF99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476250</xdr:colOff>
      <xdr:row>3</xdr:row>
      <xdr:rowOff>0</xdr:rowOff>
    </xdr:to>
    <xdr:pic>
      <xdr:nvPicPr>
        <xdr:cNvPr id="1288" name="Banner_Noi_Italia">
          <a:extLst>
            <a:ext uri="{FF2B5EF4-FFF2-40B4-BE49-F238E27FC236}">
              <a16:creationId xmlns:a16="http://schemas.microsoft.com/office/drawing/2014/main" id="{6EF92CEB-6BB2-6B17-C931-292AB9B78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4673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ossi/AppData/Local/Temp/$$_621D/Infrastrutture_e_trasporti_altri%20dati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2000-08\B-Indicatori%20di%20contesto%20e%20rottura\DATI\Dati%20Asse%20V\Delitti%20capoluog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2000-08\DEDALO%201994-99\3%20-%20Area%20BD%20infrastrutture\Dati%20raccolti\Istruzione\Cartel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2000-08\DEDALO%201994-99\3%20-%20Area%20BD%20infrastrutture\Calcolo%20correlazioni%20e%20sintesi\Istruzione%20+%20Cultura\Cartel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1994-99\A02%20-%20Rapporto%20Annuale%202000\SLL\Selezioni%20classificazion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2000-08\avvioWIN\tav.%20excel\tav.1.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2000-08\D%20-%20Elaborazioni%20territoriali\D04%20-%20BD%20Infrastrutture\04%20-%20Aggionamento%20successivo%20alla%20consegna%202004\04%20-%20Turismo\BANCAD~1\GESTIONE\TRACCI~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rci su strada"/>
      <sheetName val="Rete ferroviaria"/>
      <sheetName val="Graduatoria porti Italia"/>
      <sheetName val="Graduatoria porti Eu"/>
      <sheetName val="Graduatoria aeroporti Italia"/>
      <sheetName val="Graduatoria aeroporti Ue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988"/>
      <sheetName val="1989"/>
      <sheetName val="1990"/>
      <sheetName val="1991"/>
      <sheetName val="1992"/>
      <sheetName val="1993"/>
      <sheetName val="1994"/>
      <sheetName val="1995"/>
      <sheetName val="1996"/>
      <sheetName val="1997"/>
      <sheetName val="1998"/>
      <sheetName val="1999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u ele 1996"/>
      <sheetName val="Foglio2"/>
      <sheetName val="Foglio1"/>
      <sheetName val="rip ele 1996"/>
      <sheetName val="Alu med 96"/>
      <sheetName val="rip med 96"/>
      <sheetName val="Alu rip sup 1996"/>
      <sheetName val="Alu rip sup 1997"/>
      <sheetName val="superior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u ele 1996"/>
      <sheetName val="Foglio2"/>
      <sheetName val="Foglio1"/>
      <sheetName val="rip ele 1996"/>
      <sheetName val="Alu med 96"/>
      <sheetName val="rip med 96"/>
      <sheetName val="Alu rip sup 1996"/>
      <sheetName val="Alu rip sup 1997"/>
      <sheetName val="superiori"/>
      <sheetName val="Foglio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ECO4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v. 1.3"/>
    </sheetNames>
    <sheetDataSet>
      <sheetData sheetId="0">
        <row r="1">
          <cell r="A1" t="str">
            <v xml:space="preserve">Tavola 1.3 - 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cciati"/>
    </sheetNames>
    <sheetDataSet>
      <sheetData sheetId="0">
        <row r="1">
          <cell r="A1" t="str">
            <v>Codice ISTAT</v>
          </cell>
          <cell r="B1" t="str">
            <v>Province e Regioni</v>
          </cell>
          <cell r="C1" t="str">
            <v>BDP/ISTAT</v>
          </cell>
          <cell r="D1" t="str">
            <v>SEAT</v>
          </cell>
          <cell r="E1" t="str">
            <v>CERVED</v>
          </cell>
          <cell r="F1" t="str">
            <v>Alfabetico nella Regione</v>
          </cell>
          <cell r="G1" t="str">
            <v>Alfabetico</v>
          </cell>
        </row>
        <row r="2">
          <cell r="A2">
            <v>1</v>
          </cell>
          <cell r="B2" t="str">
            <v>Torino</v>
          </cell>
          <cell r="C2">
            <v>1</v>
          </cell>
          <cell r="E2">
            <v>2</v>
          </cell>
          <cell r="F2">
            <v>6</v>
          </cell>
          <cell r="G2">
            <v>90</v>
          </cell>
        </row>
        <row r="3">
          <cell r="A3">
            <v>2</v>
          </cell>
          <cell r="B3" t="str">
            <v>Vercelli</v>
          </cell>
          <cell r="C3">
            <v>2</v>
          </cell>
          <cell r="E3">
            <v>3</v>
          </cell>
          <cell r="F3">
            <v>8</v>
          </cell>
          <cell r="G3">
            <v>99</v>
          </cell>
        </row>
        <row r="4">
          <cell r="A4">
            <v>96</v>
          </cell>
          <cell r="B4" t="str">
            <v>Biella</v>
          </cell>
          <cell r="C4">
            <v>3</v>
          </cell>
          <cell r="E4">
            <v>8</v>
          </cell>
          <cell r="F4">
            <v>3</v>
          </cell>
          <cell r="G4">
            <v>13</v>
          </cell>
        </row>
        <row r="5">
          <cell r="A5">
            <v>103</v>
          </cell>
          <cell r="B5" t="str">
            <v>Verbano-Cusio-Ossola</v>
          </cell>
          <cell r="C5">
            <v>4</v>
          </cell>
          <cell r="E5">
            <v>9</v>
          </cell>
          <cell r="F5">
            <v>7</v>
          </cell>
          <cell r="G5">
            <v>98</v>
          </cell>
        </row>
        <row r="6">
          <cell r="A6">
            <v>3</v>
          </cell>
          <cell r="B6" t="str">
            <v>Novara</v>
          </cell>
          <cell r="C6">
            <v>5</v>
          </cell>
          <cell r="E6">
            <v>4</v>
          </cell>
          <cell r="F6">
            <v>5</v>
          </cell>
          <cell r="G6">
            <v>57</v>
          </cell>
        </row>
        <row r="7">
          <cell r="A7">
            <v>4</v>
          </cell>
          <cell r="B7" t="str">
            <v>Cuneo</v>
          </cell>
          <cell r="C7">
            <v>6</v>
          </cell>
          <cell r="E7">
            <v>5</v>
          </cell>
          <cell r="F7">
            <v>4</v>
          </cell>
          <cell r="G7">
            <v>29</v>
          </cell>
        </row>
        <row r="8">
          <cell r="A8">
            <v>5</v>
          </cell>
          <cell r="B8" t="str">
            <v>Asti</v>
          </cell>
          <cell r="C8">
            <v>7</v>
          </cell>
          <cell r="E8">
            <v>6</v>
          </cell>
          <cell r="F8">
            <v>2</v>
          </cell>
          <cell r="G8">
            <v>7</v>
          </cell>
        </row>
        <row r="9">
          <cell r="A9">
            <v>6</v>
          </cell>
          <cell r="B9" t="str">
            <v>Alessandria</v>
          </cell>
          <cell r="C9">
            <v>8</v>
          </cell>
          <cell r="E9">
            <v>7</v>
          </cell>
          <cell r="F9">
            <v>1</v>
          </cell>
          <cell r="G9">
            <v>2</v>
          </cell>
        </row>
        <row r="10">
          <cell r="A10">
            <v>1</v>
          </cell>
          <cell r="B10" t="str">
            <v>PIEMONTE</v>
          </cell>
          <cell r="C10">
            <v>9</v>
          </cell>
          <cell r="E10">
            <v>1</v>
          </cell>
          <cell r="F10">
            <v>9</v>
          </cell>
          <cell r="G10">
            <v>104</v>
          </cell>
        </row>
        <row r="11">
          <cell r="A11">
            <v>7</v>
          </cell>
          <cell r="B11" t="str">
            <v>Aosta</v>
          </cell>
          <cell r="C11">
            <v>10</v>
          </cell>
          <cell r="E11">
            <v>11</v>
          </cell>
          <cell r="F11">
            <v>10</v>
          </cell>
          <cell r="G11">
            <v>4</v>
          </cell>
        </row>
        <row r="12">
          <cell r="A12">
            <v>2</v>
          </cell>
          <cell r="B12" t="str">
            <v>VALLE D'AOSTA</v>
          </cell>
          <cell r="C12">
            <v>11</v>
          </cell>
          <cell r="E12">
            <v>10</v>
          </cell>
          <cell r="F12">
            <v>11</v>
          </cell>
          <cell r="G12">
            <v>105</v>
          </cell>
        </row>
        <row r="13">
          <cell r="A13">
            <v>12</v>
          </cell>
          <cell r="B13" t="str">
            <v>Varese</v>
          </cell>
          <cell r="C13">
            <v>12</v>
          </cell>
          <cell r="E13">
            <v>13</v>
          </cell>
          <cell r="F13">
            <v>22</v>
          </cell>
          <cell r="G13">
            <v>96</v>
          </cell>
        </row>
        <row r="14">
          <cell r="A14">
            <v>13</v>
          </cell>
          <cell r="B14" t="str">
            <v>Como</v>
          </cell>
          <cell r="C14">
            <v>13</v>
          </cell>
          <cell r="E14">
            <v>14</v>
          </cell>
          <cell r="F14">
            <v>14</v>
          </cell>
          <cell r="G14">
            <v>25</v>
          </cell>
        </row>
        <row r="15">
          <cell r="A15">
            <v>97</v>
          </cell>
          <cell r="B15" t="str">
            <v>Lecco</v>
          </cell>
          <cell r="C15">
            <v>14</v>
          </cell>
          <cell r="E15">
            <v>23</v>
          </cell>
          <cell r="F15">
            <v>16</v>
          </cell>
          <cell r="G15">
            <v>45</v>
          </cell>
        </row>
        <row r="16">
          <cell r="A16">
            <v>14</v>
          </cell>
          <cell r="B16" t="str">
            <v>Sondrio</v>
          </cell>
          <cell r="C16">
            <v>15</v>
          </cell>
          <cell r="E16">
            <v>15</v>
          </cell>
          <cell r="F16">
            <v>21</v>
          </cell>
          <cell r="G16">
            <v>86</v>
          </cell>
        </row>
        <row r="17">
          <cell r="A17">
            <v>15</v>
          </cell>
          <cell r="B17" t="str">
            <v>Milano</v>
          </cell>
          <cell r="C17">
            <v>16</v>
          </cell>
          <cell r="E17">
            <v>16</v>
          </cell>
          <cell r="F17">
            <v>19</v>
          </cell>
          <cell r="G17">
            <v>54</v>
          </cell>
        </row>
        <row r="18">
          <cell r="A18">
            <v>16</v>
          </cell>
          <cell r="B18" t="str">
            <v>Bergamo</v>
          </cell>
          <cell r="C18">
            <v>17</v>
          </cell>
          <cell r="E18">
            <v>17</v>
          </cell>
          <cell r="F18">
            <v>12</v>
          </cell>
          <cell r="G18">
            <v>12</v>
          </cell>
        </row>
        <row r="19">
          <cell r="A19">
            <v>17</v>
          </cell>
          <cell r="B19" t="str">
            <v>Brescia</v>
          </cell>
          <cell r="C19">
            <v>18</v>
          </cell>
          <cell r="E19">
            <v>18</v>
          </cell>
          <cell r="F19">
            <v>13</v>
          </cell>
          <cell r="G19">
            <v>16</v>
          </cell>
        </row>
        <row r="20">
          <cell r="A20">
            <v>18</v>
          </cell>
          <cell r="B20" t="str">
            <v>Pavia</v>
          </cell>
          <cell r="C20">
            <v>19</v>
          </cell>
          <cell r="E20">
            <v>19</v>
          </cell>
          <cell r="F20">
            <v>20</v>
          </cell>
          <cell r="G20">
            <v>63</v>
          </cell>
        </row>
        <row r="21">
          <cell r="A21">
            <v>98</v>
          </cell>
          <cell r="B21" t="str">
            <v>Lodi</v>
          </cell>
          <cell r="C21">
            <v>20</v>
          </cell>
          <cell r="E21">
            <v>22</v>
          </cell>
          <cell r="F21">
            <v>17</v>
          </cell>
          <cell r="G21">
            <v>47</v>
          </cell>
        </row>
        <row r="22">
          <cell r="A22">
            <v>19</v>
          </cell>
          <cell r="B22" t="str">
            <v>Cremona</v>
          </cell>
          <cell r="C22">
            <v>21</v>
          </cell>
          <cell r="E22">
            <v>20</v>
          </cell>
          <cell r="F22">
            <v>15</v>
          </cell>
          <cell r="G22">
            <v>27</v>
          </cell>
        </row>
        <row r="23">
          <cell r="A23">
            <v>20</v>
          </cell>
          <cell r="B23" t="str">
            <v>Mantova</v>
          </cell>
          <cell r="C23">
            <v>22</v>
          </cell>
          <cell r="E23">
            <v>21</v>
          </cell>
          <cell r="F23">
            <v>18</v>
          </cell>
          <cell r="G23">
            <v>50</v>
          </cell>
        </row>
        <row r="24">
          <cell r="A24">
            <v>3</v>
          </cell>
          <cell r="B24" t="str">
            <v>LOMBARDIA</v>
          </cell>
          <cell r="C24">
            <v>23</v>
          </cell>
          <cell r="E24">
            <v>12</v>
          </cell>
          <cell r="F24">
            <v>23</v>
          </cell>
          <cell r="G24">
            <v>106</v>
          </cell>
        </row>
        <row r="25">
          <cell r="A25">
            <v>21</v>
          </cell>
          <cell r="B25" t="str">
            <v>Bolzano</v>
          </cell>
          <cell r="C25">
            <v>24</v>
          </cell>
          <cell r="E25">
            <v>25</v>
          </cell>
          <cell r="F25">
            <v>24</v>
          </cell>
          <cell r="G25">
            <v>15</v>
          </cell>
        </row>
        <row r="26">
          <cell r="A26">
            <v>22</v>
          </cell>
          <cell r="B26" t="str">
            <v>Trento</v>
          </cell>
          <cell r="C26">
            <v>25</v>
          </cell>
          <cell r="E26">
            <v>26</v>
          </cell>
          <cell r="F26">
            <v>25</v>
          </cell>
          <cell r="G26">
            <v>92</v>
          </cell>
        </row>
        <row r="27">
          <cell r="A27">
            <v>4</v>
          </cell>
          <cell r="B27" t="str">
            <v>TRENTINO-ALTO ADIGE</v>
          </cell>
          <cell r="C27">
            <v>26</v>
          </cell>
          <cell r="E27">
            <v>24</v>
          </cell>
          <cell r="F27">
            <v>26</v>
          </cell>
          <cell r="G27">
            <v>107</v>
          </cell>
        </row>
        <row r="28">
          <cell r="A28">
            <v>23</v>
          </cell>
          <cell r="B28" t="str">
            <v>Verona</v>
          </cell>
          <cell r="C28">
            <v>27</v>
          </cell>
          <cell r="E28">
            <v>28</v>
          </cell>
          <cell r="F28">
            <v>32</v>
          </cell>
          <cell r="G28">
            <v>100</v>
          </cell>
        </row>
        <row r="29">
          <cell r="A29">
            <v>24</v>
          </cell>
          <cell r="B29" t="str">
            <v>Vicenza</v>
          </cell>
          <cell r="C29">
            <v>28</v>
          </cell>
          <cell r="E29">
            <v>29</v>
          </cell>
          <cell r="F29">
            <v>33</v>
          </cell>
          <cell r="G29">
            <v>102</v>
          </cell>
        </row>
        <row r="30">
          <cell r="A30">
            <v>25</v>
          </cell>
          <cell r="B30" t="str">
            <v>Belluno</v>
          </cell>
          <cell r="C30">
            <v>29</v>
          </cell>
          <cell r="E30">
            <v>30</v>
          </cell>
          <cell r="F30">
            <v>27</v>
          </cell>
          <cell r="G30">
            <v>10</v>
          </cell>
        </row>
        <row r="31">
          <cell r="A31">
            <v>26</v>
          </cell>
          <cell r="B31" t="str">
            <v>Treviso</v>
          </cell>
          <cell r="C31">
            <v>30</v>
          </cell>
          <cell r="E31">
            <v>31</v>
          </cell>
          <cell r="F31">
            <v>30</v>
          </cell>
          <cell r="G31">
            <v>93</v>
          </cell>
        </row>
        <row r="32">
          <cell r="A32">
            <v>27</v>
          </cell>
          <cell r="B32" t="str">
            <v>Venezia</v>
          </cell>
          <cell r="C32">
            <v>31</v>
          </cell>
          <cell r="E32">
            <v>32</v>
          </cell>
          <cell r="F32">
            <v>31</v>
          </cell>
          <cell r="G32">
            <v>97</v>
          </cell>
        </row>
        <row r="33">
          <cell r="A33">
            <v>28</v>
          </cell>
          <cell r="B33" t="str">
            <v>Padova</v>
          </cell>
          <cell r="C33">
            <v>32</v>
          </cell>
          <cell r="E33">
            <v>33</v>
          </cell>
          <cell r="F33">
            <v>28</v>
          </cell>
          <cell r="G33">
            <v>60</v>
          </cell>
        </row>
        <row r="34">
          <cell r="A34">
            <v>29</v>
          </cell>
          <cell r="B34" t="str">
            <v>Rovigo</v>
          </cell>
          <cell r="C34">
            <v>33</v>
          </cell>
          <cell r="E34">
            <v>34</v>
          </cell>
          <cell r="F34">
            <v>29</v>
          </cell>
          <cell r="G34">
            <v>80</v>
          </cell>
        </row>
        <row r="35">
          <cell r="A35">
            <v>5</v>
          </cell>
          <cell r="B35" t="str">
            <v>VENETO</v>
          </cell>
          <cell r="C35">
            <v>34</v>
          </cell>
          <cell r="E35">
            <v>27</v>
          </cell>
          <cell r="F35">
            <v>34</v>
          </cell>
          <cell r="G35">
            <v>108</v>
          </cell>
        </row>
        <row r="36">
          <cell r="A36">
            <v>93</v>
          </cell>
          <cell r="B36" t="str">
            <v>Pordenone</v>
          </cell>
          <cell r="C36">
            <v>35</v>
          </cell>
          <cell r="E36">
            <v>36</v>
          </cell>
          <cell r="F36">
            <v>36</v>
          </cell>
          <cell r="G36">
            <v>70</v>
          </cell>
        </row>
        <row r="37">
          <cell r="A37">
            <v>30</v>
          </cell>
          <cell r="B37" t="str">
            <v>Udine</v>
          </cell>
          <cell r="C37">
            <v>36</v>
          </cell>
          <cell r="E37">
            <v>37</v>
          </cell>
          <cell r="F37">
            <v>38</v>
          </cell>
          <cell r="G37">
            <v>95</v>
          </cell>
        </row>
        <row r="38">
          <cell r="A38">
            <v>31</v>
          </cell>
          <cell r="B38" t="str">
            <v>Gorizia</v>
          </cell>
          <cell r="C38">
            <v>37</v>
          </cell>
          <cell r="E38">
            <v>38</v>
          </cell>
          <cell r="F38">
            <v>35</v>
          </cell>
          <cell r="G38">
            <v>37</v>
          </cell>
        </row>
        <row r="39">
          <cell r="A39">
            <v>32</v>
          </cell>
          <cell r="B39" t="str">
            <v>Trieste</v>
          </cell>
          <cell r="C39">
            <v>38</v>
          </cell>
          <cell r="E39">
            <v>39</v>
          </cell>
          <cell r="F39">
            <v>37</v>
          </cell>
          <cell r="G39">
            <v>94</v>
          </cell>
        </row>
        <row r="40">
          <cell r="A40">
            <v>6</v>
          </cell>
          <cell r="B40" t="str">
            <v>FRIULI-VENEZIA GIULIA</v>
          </cell>
          <cell r="C40">
            <v>39</v>
          </cell>
          <cell r="E40">
            <v>35</v>
          </cell>
          <cell r="F40">
            <v>39</v>
          </cell>
          <cell r="G40">
            <v>109</v>
          </cell>
        </row>
        <row r="41">
          <cell r="A41">
            <v>8</v>
          </cell>
          <cell r="B41" t="str">
            <v>Imperia</v>
          </cell>
          <cell r="C41">
            <v>40</v>
          </cell>
          <cell r="E41">
            <v>41</v>
          </cell>
          <cell r="F41">
            <v>41</v>
          </cell>
          <cell r="G41">
            <v>39</v>
          </cell>
        </row>
        <row r="42">
          <cell r="A42">
            <v>9</v>
          </cell>
          <cell r="B42" t="str">
            <v>Savona</v>
          </cell>
          <cell r="C42">
            <v>41</v>
          </cell>
          <cell r="E42">
            <v>42</v>
          </cell>
          <cell r="F42">
            <v>43</v>
          </cell>
          <cell r="G42">
            <v>83</v>
          </cell>
        </row>
        <row r="43">
          <cell r="A43">
            <v>10</v>
          </cell>
          <cell r="B43" t="str">
            <v>Genova</v>
          </cell>
          <cell r="C43">
            <v>42</v>
          </cell>
          <cell r="E43">
            <v>43</v>
          </cell>
          <cell r="F43">
            <v>40</v>
          </cell>
          <cell r="G43">
            <v>36</v>
          </cell>
        </row>
        <row r="44">
          <cell r="A44">
            <v>11</v>
          </cell>
          <cell r="B44" t="str">
            <v>La Spezia</v>
          </cell>
          <cell r="C44">
            <v>43</v>
          </cell>
          <cell r="E44">
            <v>44</v>
          </cell>
          <cell r="F44">
            <v>42</v>
          </cell>
          <cell r="G44">
            <v>41</v>
          </cell>
        </row>
        <row r="45">
          <cell r="A45">
            <v>7</v>
          </cell>
          <cell r="B45" t="str">
            <v>LIGURIA</v>
          </cell>
          <cell r="C45">
            <v>44</v>
          </cell>
          <cell r="E45">
            <v>40</v>
          </cell>
          <cell r="F45">
            <v>44</v>
          </cell>
          <cell r="G45">
            <v>110</v>
          </cell>
        </row>
        <row r="46">
          <cell r="A46">
            <v>33</v>
          </cell>
          <cell r="B46" t="str">
            <v>Piacenza</v>
          </cell>
          <cell r="C46">
            <v>45</v>
          </cell>
          <cell r="E46">
            <v>46</v>
          </cell>
          <cell r="F46">
            <v>50</v>
          </cell>
          <cell r="G46">
            <v>67</v>
          </cell>
        </row>
        <row r="47">
          <cell r="A47">
            <v>34</v>
          </cell>
          <cell r="B47" t="str">
            <v>Parma</v>
          </cell>
          <cell r="C47">
            <v>46</v>
          </cell>
          <cell r="E47">
            <v>47</v>
          </cell>
          <cell r="F47">
            <v>49</v>
          </cell>
          <cell r="G47">
            <v>62</v>
          </cell>
        </row>
        <row r="48">
          <cell r="A48">
            <v>35</v>
          </cell>
          <cell r="B48" t="str">
            <v>Reggio nell'Emilia</v>
          </cell>
          <cell r="C48">
            <v>47</v>
          </cell>
          <cell r="E48">
            <v>48</v>
          </cell>
          <cell r="F48">
            <v>52</v>
          </cell>
          <cell r="G48">
            <v>76</v>
          </cell>
        </row>
        <row r="49">
          <cell r="A49">
            <v>36</v>
          </cell>
          <cell r="B49" t="str">
            <v>Modena</v>
          </cell>
          <cell r="C49">
            <v>48</v>
          </cell>
          <cell r="E49">
            <v>49</v>
          </cell>
          <cell r="F49">
            <v>48</v>
          </cell>
          <cell r="G49">
            <v>55</v>
          </cell>
        </row>
        <row r="50">
          <cell r="A50">
            <v>37</v>
          </cell>
          <cell r="B50" t="str">
            <v>Bologna</v>
          </cell>
          <cell r="C50">
            <v>49</v>
          </cell>
          <cell r="E50">
            <v>50</v>
          </cell>
          <cell r="F50">
            <v>45</v>
          </cell>
          <cell r="G50">
            <v>14</v>
          </cell>
        </row>
        <row r="51">
          <cell r="A51">
            <v>38</v>
          </cell>
          <cell r="B51" t="str">
            <v>Ferrara</v>
          </cell>
          <cell r="C51">
            <v>50</v>
          </cell>
          <cell r="E51">
            <v>51</v>
          </cell>
          <cell r="F51">
            <v>46</v>
          </cell>
          <cell r="G51">
            <v>31</v>
          </cell>
        </row>
        <row r="52">
          <cell r="A52">
            <v>39</v>
          </cell>
          <cell r="B52" t="str">
            <v>Ravenna</v>
          </cell>
          <cell r="C52">
            <v>51</v>
          </cell>
          <cell r="E52">
            <v>52</v>
          </cell>
          <cell r="F52">
            <v>51</v>
          </cell>
          <cell r="G52">
            <v>74</v>
          </cell>
        </row>
        <row r="53">
          <cell r="A53">
            <v>40</v>
          </cell>
          <cell r="B53" t="str">
            <v>Forlì-Cesena</v>
          </cell>
          <cell r="C53">
            <v>52</v>
          </cell>
          <cell r="E53">
            <v>53</v>
          </cell>
          <cell r="F53">
            <v>47</v>
          </cell>
          <cell r="G53">
            <v>34</v>
          </cell>
        </row>
        <row r="54">
          <cell r="A54">
            <v>99</v>
          </cell>
          <cell r="B54" t="str">
            <v>Rimini</v>
          </cell>
          <cell r="C54">
            <v>53</v>
          </cell>
          <cell r="E54">
            <v>54</v>
          </cell>
          <cell r="F54">
            <v>53</v>
          </cell>
          <cell r="G54">
            <v>78</v>
          </cell>
        </row>
        <row r="55">
          <cell r="A55">
            <v>8</v>
          </cell>
          <cell r="B55" t="str">
            <v>EMILIA - ROMAGNA</v>
          </cell>
          <cell r="C55">
            <v>54</v>
          </cell>
          <cell r="E55">
            <v>45</v>
          </cell>
          <cell r="F55">
            <v>54</v>
          </cell>
          <cell r="G55">
            <v>111</v>
          </cell>
        </row>
        <row r="56">
          <cell r="A56">
            <v>45</v>
          </cell>
          <cell r="B56" t="str">
            <v>Massa-Carrara</v>
          </cell>
          <cell r="C56">
            <v>55</v>
          </cell>
          <cell r="E56">
            <v>56</v>
          </cell>
          <cell r="F56">
            <v>60</v>
          </cell>
          <cell r="G56">
            <v>51</v>
          </cell>
        </row>
        <row r="57">
          <cell r="A57">
            <v>46</v>
          </cell>
          <cell r="B57" t="str">
            <v>Lucca</v>
          </cell>
          <cell r="C57">
            <v>56</v>
          </cell>
          <cell r="E57">
            <v>57</v>
          </cell>
          <cell r="F57">
            <v>59</v>
          </cell>
          <cell r="G57">
            <v>48</v>
          </cell>
        </row>
        <row r="58">
          <cell r="A58">
            <v>47</v>
          </cell>
          <cell r="B58" t="str">
            <v>Pistoia</v>
          </cell>
          <cell r="C58">
            <v>57</v>
          </cell>
          <cell r="E58">
            <v>58</v>
          </cell>
          <cell r="F58">
            <v>62</v>
          </cell>
          <cell r="G58">
            <v>69</v>
          </cell>
        </row>
        <row r="59">
          <cell r="A59">
            <v>48</v>
          </cell>
          <cell r="B59" t="str">
            <v>Firenze</v>
          </cell>
          <cell r="C59">
            <v>58</v>
          </cell>
          <cell r="E59">
            <v>59</v>
          </cell>
          <cell r="F59">
            <v>56</v>
          </cell>
          <cell r="G59">
            <v>32</v>
          </cell>
        </row>
        <row r="60">
          <cell r="A60">
            <v>100</v>
          </cell>
          <cell r="B60" t="str">
            <v>Prato</v>
          </cell>
          <cell r="C60">
            <v>59</v>
          </cell>
          <cell r="E60">
            <v>65</v>
          </cell>
          <cell r="F60">
            <v>63</v>
          </cell>
          <cell r="G60">
            <v>72</v>
          </cell>
        </row>
        <row r="61">
          <cell r="A61">
            <v>49</v>
          </cell>
          <cell r="B61" t="str">
            <v>Livorno</v>
          </cell>
          <cell r="C61">
            <v>60</v>
          </cell>
          <cell r="E61">
            <v>60</v>
          </cell>
          <cell r="F61">
            <v>58</v>
          </cell>
          <cell r="G61">
            <v>46</v>
          </cell>
        </row>
        <row r="62">
          <cell r="A62">
            <v>50</v>
          </cell>
          <cell r="B62" t="str">
            <v>Pisa</v>
          </cell>
          <cell r="C62">
            <v>61</v>
          </cell>
          <cell r="E62">
            <v>61</v>
          </cell>
          <cell r="F62">
            <v>61</v>
          </cell>
          <cell r="G62">
            <v>68</v>
          </cell>
        </row>
        <row r="63">
          <cell r="A63">
            <v>51</v>
          </cell>
          <cell r="B63" t="str">
            <v>Arezzo</v>
          </cell>
          <cell r="C63">
            <v>62</v>
          </cell>
          <cell r="E63">
            <v>62</v>
          </cell>
          <cell r="F63">
            <v>55</v>
          </cell>
          <cell r="G63">
            <v>5</v>
          </cell>
        </row>
        <row r="64">
          <cell r="A64">
            <v>52</v>
          </cell>
          <cell r="B64" t="str">
            <v>Siena</v>
          </cell>
          <cell r="C64">
            <v>63</v>
          </cell>
          <cell r="E64">
            <v>63</v>
          </cell>
          <cell r="F64">
            <v>64</v>
          </cell>
          <cell r="G64">
            <v>84</v>
          </cell>
        </row>
        <row r="65">
          <cell r="A65">
            <v>53</v>
          </cell>
          <cell r="B65" t="str">
            <v>Grosseto</v>
          </cell>
          <cell r="C65">
            <v>64</v>
          </cell>
          <cell r="E65">
            <v>64</v>
          </cell>
          <cell r="F65">
            <v>57</v>
          </cell>
          <cell r="G65">
            <v>38</v>
          </cell>
        </row>
        <row r="66">
          <cell r="A66">
            <v>9</v>
          </cell>
          <cell r="B66" t="str">
            <v>TOSCANA</v>
          </cell>
          <cell r="C66">
            <v>65</v>
          </cell>
          <cell r="E66">
            <v>55</v>
          </cell>
          <cell r="F66">
            <v>65</v>
          </cell>
          <cell r="G66">
            <v>112</v>
          </cell>
        </row>
        <row r="67">
          <cell r="A67">
            <v>54</v>
          </cell>
          <cell r="B67" t="str">
            <v>Perugia</v>
          </cell>
          <cell r="C67">
            <v>66</v>
          </cell>
          <cell r="E67">
            <v>67</v>
          </cell>
          <cell r="F67">
            <v>66</v>
          </cell>
          <cell r="G67">
            <v>64</v>
          </cell>
        </row>
        <row r="68">
          <cell r="A68">
            <v>55</v>
          </cell>
          <cell r="B68" t="str">
            <v>Terni</v>
          </cell>
          <cell r="C68">
            <v>67</v>
          </cell>
          <cell r="E68">
            <v>68</v>
          </cell>
          <cell r="F68">
            <v>67</v>
          </cell>
          <cell r="G68">
            <v>89</v>
          </cell>
        </row>
        <row r="69">
          <cell r="A69">
            <v>10</v>
          </cell>
          <cell r="B69" t="str">
            <v>UMBRIA</v>
          </cell>
          <cell r="C69">
            <v>68</v>
          </cell>
          <cell r="E69">
            <v>66</v>
          </cell>
          <cell r="F69">
            <v>68</v>
          </cell>
          <cell r="G69">
            <v>113</v>
          </cell>
        </row>
        <row r="70">
          <cell r="A70">
            <v>41</v>
          </cell>
          <cell r="B70" t="str">
            <v>Pesaro e Urbino</v>
          </cell>
          <cell r="C70">
            <v>69</v>
          </cell>
          <cell r="E70">
            <v>70</v>
          </cell>
          <cell r="F70">
            <v>72</v>
          </cell>
          <cell r="G70">
            <v>65</v>
          </cell>
        </row>
        <row r="71">
          <cell r="A71">
            <v>42</v>
          </cell>
          <cell r="B71" t="str">
            <v>Ancona</v>
          </cell>
          <cell r="C71">
            <v>70</v>
          </cell>
          <cell r="E71">
            <v>71</v>
          </cell>
          <cell r="F71">
            <v>69</v>
          </cell>
          <cell r="G71">
            <v>3</v>
          </cell>
        </row>
        <row r="72">
          <cell r="A72">
            <v>43</v>
          </cell>
          <cell r="B72" t="str">
            <v>Macerata</v>
          </cell>
          <cell r="C72">
            <v>71</v>
          </cell>
          <cell r="E72">
            <v>72</v>
          </cell>
          <cell r="F72">
            <v>71</v>
          </cell>
          <cell r="G72">
            <v>49</v>
          </cell>
        </row>
        <row r="73">
          <cell r="A73">
            <v>44</v>
          </cell>
          <cell r="B73" t="str">
            <v>Ascoli Piceno</v>
          </cell>
          <cell r="C73">
            <v>72</v>
          </cell>
          <cell r="E73">
            <v>73</v>
          </cell>
          <cell r="F73">
            <v>70</v>
          </cell>
          <cell r="G73">
            <v>6</v>
          </cell>
        </row>
        <row r="74">
          <cell r="A74">
            <v>11</v>
          </cell>
          <cell r="B74" t="str">
            <v>MARCHE</v>
          </cell>
          <cell r="C74">
            <v>73</v>
          </cell>
          <cell r="E74">
            <v>69</v>
          </cell>
          <cell r="F74">
            <v>73</v>
          </cell>
          <cell r="G74">
            <v>114</v>
          </cell>
        </row>
        <row r="75">
          <cell r="A75">
            <v>56</v>
          </cell>
          <cell r="B75" t="str">
            <v>Viterbo</v>
          </cell>
          <cell r="C75">
            <v>74</v>
          </cell>
          <cell r="E75">
            <v>75</v>
          </cell>
          <cell r="F75">
            <v>78</v>
          </cell>
          <cell r="G75">
            <v>103</v>
          </cell>
        </row>
        <row r="76">
          <cell r="A76">
            <v>57</v>
          </cell>
          <cell r="B76" t="str">
            <v>Rieti</v>
          </cell>
          <cell r="C76">
            <v>75</v>
          </cell>
          <cell r="E76">
            <v>76</v>
          </cell>
          <cell r="F76">
            <v>76</v>
          </cell>
          <cell r="G76">
            <v>77</v>
          </cell>
        </row>
        <row r="77">
          <cell r="A77">
            <v>58</v>
          </cell>
          <cell r="B77" t="str">
            <v>Roma</v>
          </cell>
          <cell r="C77">
            <v>76</v>
          </cell>
          <cell r="E77">
            <v>77</v>
          </cell>
          <cell r="F77">
            <v>77</v>
          </cell>
          <cell r="G77">
            <v>79</v>
          </cell>
        </row>
        <row r="78">
          <cell r="A78">
            <v>59</v>
          </cell>
          <cell r="B78" t="str">
            <v>Latina</v>
          </cell>
          <cell r="C78">
            <v>77</v>
          </cell>
          <cell r="E78">
            <v>78</v>
          </cell>
          <cell r="F78">
            <v>75</v>
          </cell>
          <cell r="G78">
            <v>43</v>
          </cell>
        </row>
        <row r="79">
          <cell r="A79">
            <v>60</v>
          </cell>
          <cell r="B79" t="str">
            <v>Frosinone</v>
          </cell>
          <cell r="C79">
            <v>78</v>
          </cell>
          <cell r="E79">
            <v>79</v>
          </cell>
          <cell r="F79">
            <v>74</v>
          </cell>
          <cell r="G79">
            <v>35</v>
          </cell>
        </row>
        <row r="80">
          <cell r="A80">
            <v>12</v>
          </cell>
          <cell r="B80" t="str">
            <v>LAZIO</v>
          </cell>
          <cell r="C80">
            <v>79</v>
          </cell>
          <cell r="E80">
            <v>74</v>
          </cell>
          <cell r="F80">
            <v>79</v>
          </cell>
          <cell r="G80">
            <v>115</v>
          </cell>
        </row>
        <row r="81">
          <cell r="A81">
            <v>66</v>
          </cell>
          <cell r="B81" t="str">
            <v>L'Aquila</v>
          </cell>
          <cell r="C81">
            <v>80</v>
          </cell>
          <cell r="E81">
            <v>81</v>
          </cell>
          <cell r="F81">
            <v>81</v>
          </cell>
          <cell r="G81">
            <v>42</v>
          </cell>
        </row>
        <row r="82">
          <cell r="A82">
            <v>67</v>
          </cell>
          <cell r="B82" t="str">
            <v>Teramo</v>
          </cell>
          <cell r="C82">
            <v>81</v>
          </cell>
          <cell r="E82">
            <v>82</v>
          </cell>
          <cell r="F82">
            <v>83</v>
          </cell>
          <cell r="G82">
            <v>88</v>
          </cell>
        </row>
        <row r="83">
          <cell r="A83">
            <v>68</v>
          </cell>
          <cell r="B83" t="str">
            <v>Pescara</v>
          </cell>
          <cell r="C83">
            <v>82</v>
          </cell>
          <cell r="E83">
            <v>83</v>
          </cell>
          <cell r="F83">
            <v>82</v>
          </cell>
          <cell r="G83">
            <v>66</v>
          </cell>
        </row>
        <row r="84">
          <cell r="A84">
            <v>69</v>
          </cell>
          <cell r="B84" t="str">
            <v>Chieti</v>
          </cell>
          <cell r="C84">
            <v>83</v>
          </cell>
          <cell r="E84">
            <v>84</v>
          </cell>
          <cell r="F84">
            <v>80</v>
          </cell>
          <cell r="G84">
            <v>24</v>
          </cell>
        </row>
        <row r="85">
          <cell r="A85">
            <v>13</v>
          </cell>
          <cell r="B85" t="str">
            <v>ABRUZZO</v>
          </cell>
          <cell r="C85">
            <v>84</v>
          </cell>
          <cell r="E85">
            <v>80</v>
          </cell>
          <cell r="F85">
            <v>84</v>
          </cell>
          <cell r="G85">
            <v>116</v>
          </cell>
        </row>
        <row r="86">
          <cell r="A86">
            <v>94</v>
          </cell>
          <cell r="B86" t="str">
            <v>Isernia</v>
          </cell>
          <cell r="C86">
            <v>85</v>
          </cell>
          <cell r="E86">
            <v>86</v>
          </cell>
          <cell r="F86">
            <v>86</v>
          </cell>
          <cell r="G86">
            <v>40</v>
          </cell>
        </row>
        <row r="87">
          <cell r="A87">
            <v>70</v>
          </cell>
          <cell r="B87" t="str">
            <v>Campobasso</v>
          </cell>
          <cell r="C87">
            <v>86</v>
          </cell>
          <cell r="E87">
            <v>87</v>
          </cell>
          <cell r="F87">
            <v>85</v>
          </cell>
          <cell r="G87">
            <v>20</v>
          </cell>
        </row>
        <row r="88">
          <cell r="A88">
            <v>14</v>
          </cell>
          <cell r="B88" t="str">
            <v>MOLISE</v>
          </cell>
          <cell r="C88">
            <v>87</v>
          </cell>
          <cell r="E88">
            <v>85</v>
          </cell>
          <cell r="F88">
            <v>87</v>
          </cell>
          <cell r="G88">
            <v>117</v>
          </cell>
        </row>
        <row r="89">
          <cell r="A89">
            <v>61</v>
          </cell>
          <cell r="B89" t="str">
            <v>Caserta</v>
          </cell>
          <cell r="C89">
            <v>88</v>
          </cell>
          <cell r="E89">
            <v>89</v>
          </cell>
          <cell r="F89">
            <v>90</v>
          </cell>
          <cell r="G89">
            <v>21</v>
          </cell>
        </row>
        <row r="90">
          <cell r="A90">
            <v>62</v>
          </cell>
          <cell r="B90" t="str">
            <v>Benevento</v>
          </cell>
          <cell r="C90">
            <v>89</v>
          </cell>
          <cell r="E90">
            <v>90</v>
          </cell>
          <cell r="F90">
            <v>89</v>
          </cell>
          <cell r="G90">
            <v>11</v>
          </cell>
        </row>
        <row r="91">
          <cell r="A91">
            <v>63</v>
          </cell>
          <cell r="B91" t="str">
            <v>Napoli</v>
          </cell>
          <cell r="C91">
            <v>90</v>
          </cell>
          <cell r="E91">
            <v>91</v>
          </cell>
          <cell r="F91">
            <v>91</v>
          </cell>
          <cell r="G91">
            <v>56</v>
          </cell>
        </row>
        <row r="92">
          <cell r="A92">
            <v>64</v>
          </cell>
          <cell r="B92" t="str">
            <v>Avellino</v>
          </cell>
          <cell r="C92">
            <v>91</v>
          </cell>
          <cell r="E92">
            <v>92</v>
          </cell>
          <cell r="F92">
            <v>88</v>
          </cell>
          <cell r="G92">
            <v>8</v>
          </cell>
        </row>
        <row r="93">
          <cell r="A93">
            <v>65</v>
          </cell>
          <cell r="B93" t="str">
            <v>Salerno</v>
          </cell>
          <cell r="C93">
            <v>92</v>
          </cell>
          <cell r="E93">
            <v>93</v>
          </cell>
          <cell r="F93">
            <v>92</v>
          </cell>
          <cell r="G93">
            <v>81</v>
          </cell>
        </row>
        <row r="94">
          <cell r="A94">
            <v>15</v>
          </cell>
          <cell r="B94" t="str">
            <v>CAMPANIA</v>
          </cell>
          <cell r="C94">
            <v>93</v>
          </cell>
          <cell r="E94">
            <v>88</v>
          </cell>
          <cell r="F94">
            <v>93</v>
          </cell>
          <cell r="G94">
            <v>118</v>
          </cell>
        </row>
        <row r="95">
          <cell r="A95">
            <v>71</v>
          </cell>
          <cell r="B95" t="str">
            <v>Foggia</v>
          </cell>
          <cell r="C95">
            <v>94</v>
          </cell>
          <cell r="E95">
            <v>95</v>
          </cell>
          <cell r="F95">
            <v>96</v>
          </cell>
          <cell r="G95">
            <v>33</v>
          </cell>
        </row>
        <row r="96">
          <cell r="A96">
            <v>72</v>
          </cell>
          <cell r="B96" t="str">
            <v>Bari</v>
          </cell>
          <cell r="C96">
            <v>95</v>
          </cell>
          <cell r="E96">
            <v>96</v>
          </cell>
          <cell r="F96">
            <v>94</v>
          </cell>
          <cell r="G96">
            <v>9</v>
          </cell>
        </row>
        <row r="97">
          <cell r="A97">
            <v>73</v>
          </cell>
          <cell r="B97" t="str">
            <v>Taranto</v>
          </cell>
          <cell r="C97">
            <v>96</v>
          </cell>
          <cell r="E97">
            <v>97</v>
          </cell>
          <cell r="F97">
            <v>98</v>
          </cell>
          <cell r="G97">
            <v>87</v>
          </cell>
        </row>
        <row r="98">
          <cell r="A98">
            <v>74</v>
          </cell>
          <cell r="B98" t="str">
            <v>Brindisi</v>
          </cell>
          <cell r="C98">
            <v>97</v>
          </cell>
          <cell r="E98">
            <v>98</v>
          </cell>
          <cell r="F98">
            <v>95</v>
          </cell>
          <cell r="G98">
            <v>17</v>
          </cell>
        </row>
        <row r="99">
          <cell r="A99">
            <v>75</v>
          </cell>
          <cell r="B99" t="str">
            <v>Lecce</v>
          </cell>
          <cell r="C99">
            <v>98</v>
          </cell>
          <cell r="E99">
            <v>99</v>
          </cell>
          <cell r="F99">
            <v>97</v>
          </cell>
          <cell r="G99">
            <v>44</v>
          </cell>
        </row>
        <row r="100">
          <cell r="A100">
            <v>16</v>
          </cell>
          <cell r="B100" t="str">
            <v>PUGLIA</v>
          </cell>
          <cell r="C100">
            <v>99</v>
          </cell>
          <cell r="E100">
            <v>94</v>
          </cell>
          <cell r="F100">
            <v>99</v>
          </cell>
          <cell r="G100">
            <v>119</v>
          </cell>
        </row>
        <row r="101">
          <cell r="A101">
            <v>76</v>
          </cell>
          <cell r="B101" t="str">
            <v>Potenza</v>
          </cell>
          <cell r="C101">
            <v>100</v>
          </cell>
          <cell r="E101">
            <v>101</v>
          </cell>
          <cell r="F101">
            <v>101</v>
          </cell>
          <cell r="G101">
            <v>71</v>
          </cell>
        </row>
        <row r="102">
          <cell r="A102">
            <v>77</v>
          </cell>
          <cell r="B102" t="str">
            <v>Matera</v>
          </cell>
          <cell r="C102">
            <v>101</v>
          </cell>
          <cell r="E102">
            <v>102</v>
          </cell>
          <cell r="F102">
            <v>100</v>
          </cell>
          <cell r="G102">
            <v>52</v>
          </cell>
        </row>
        <row r="103">
          <cell r="A103">
            <v>17</v>
          </cell>
          <cell r="B103" t="str">
            <v>BASILICATA</v>
          </cell>
          <cell r="C103">
            <v>102</v>
          </cell>
          <cell r="E103">
            <v>100</v>
          </cell>
          <cell r="F103">
            <v>102</v>
          </cell>
          <cell r="G103">
            <v>120</v>
          </cell>
        </row>
        <row r="104">
          <cell r="A104">
            <v>78</v>
          </cell>
          <cell r="B104" t="str">
            <v>Cosenza</v>
          </cell>
          <cell r="C104">
            <v>103</v>
          </cell>
          <cell r="E104">
            <v>104</v>
          </cell>
          <cell r="F104">
            <v>104</v>
          </cell>
          <cell r="G104">
            <v>26</v>
          </cell>
        </row>
        <row r="105">
          <cell r="A105">
            <v>101</v>
          </cell>
          <cell r="B105" t="str">
            <v>Crotone</v>
          </cell>
          <cell r="C105">
            <v>104</v>
          </cell>
          <cell r="E105">
            <v>108</v>
          </cell>
          <cell r="F105">
            <v>105</v>
          </cell>
          <cell r="G105">
            <v>28</v>
          </cell>
        </row>
        <row r="106">
          <cell r="A106">
            <v>79</v>
          </cell>
          <cell r="B106" t="str">
            <v>Catanzaro</v>
          </cell>
          <cell r="C106">
            <v>105</v>
          </cell>
          <cell r="E106">
            <v>105</v>
          </cell>
          <cell r="F106">
            <v>103</v>
          </cell>
          <cell r="G106">
            <v>23</v>
          </cell>
        </row>
        <row r="107">
          <cell r="A107">
            <v>102</v>
          </cell>
          <cell r="B107" t="str">
            <v>Vibo Valentia</v>
          </cell>
          <cell r="C107">
            <v>106</v>
          </cell>
          <cell r="E107">
            <v>107</v>
          </cell>
          <cell r="F107">
            <v>107</v>
          </cell>
          <cell r="G107">
            <v>101</v>
          </cell>
        </row>
        <row r="108">
          <cell r="A108">
            <v>80</v>
          </cell>
          <cell r="B108" t="str">
            <v>Reggio di Calabria</v>
          </cell>
          <cell r="C108">
            <v>107</v>
          </cell>
          <cell r="E108">
            <v>106</v>
          </cell>
          <cell r="F108">
            <v>106</v>
          </cell>
          <cell r="G108">
            <v>75</v>
          </cell>
        </row>
        <row r="109">
          <cell r="A109">
            <v>18</v>
          </cell>
          <cell r="B109" t="str">
            <v>CALABRIA</v>
          </cell>
          <cell r="C109">
            <v>108</v>
          </cell>
          <cell r="E109">
            <v>103</v>
          </cell>
          <cell r="F109">
            <v>108</v>
          </cell>
          <cell r="G109">
            <v>121</v>
          </cell>
        </row>
        <row r="110">
          <cell r="A110">
            <v>81</v>
          </cell>
          <cell r="B110" t="str">
            <v>Trapani</v>
          </cell>
          <cell r="C110">
            <v>109</v>
          </cell>
          <cell r="E110">
            <v>110</v>
          </cell>
          <cell r="F110">
            <v>117</v>
          </cell>
          <cell r="G110">
            <v>91</v>
          </cell>
        </row>
        <row r="111">
          <cell r="A111">
            <v>82</v>
          </cell>
          <cell r="B111" t="str">
            <v>Palermo</v>
          </cell>
          <cell r="C111">
            <v>110</v>
          </cell>
          <cell r="E111">
            <v>111</v>
          </cell>
          <cell r="F111">
            <v>114</v>
          </cell>
          <cell r="G111">
            <v>61</v>
          </cell>
        </row>
        <row r="112">
          <cell r="A112">
            <v>83</v>
          </cell>
          <cell r="B112" t="str">
            <v>Messina</v>
          </cell>
          <cell r="C112">
            <v>111</v>
          </cell>
          <cell r="E112">
            <v>112</v>
          </cell>
          <cell r="F112">
            <v>113</v>
          </cell>
          <cell r="G112">
            <v>53</v>
          </cell>
        </row>
        <row r="113">
          <cell r="A113">
            <v>84</v>
          </cell>
          <cell r="B113" t="str">
            <v>Agrigento</v>
          </cell>
          <cell r="C113">
            <v>112</v>
          </cell>
          <cell r="E113">
            <v>113</v>
          </cell>
          <cell r="F113">
            <v>109</v>
          </cell>
          <cell r="G113">
            <v>1</v>
          </cell>
        </row>
        <row r="114">
          <cell r="A114">
            <v>85</v>
          </cell>
          <cell r="B114" t="str">
            <v>Caltanissetta</v>
          </cell>
          <cell r="C114">
            <v>113</v>
          </cell>
          <cell r="E114">
            <v>114</v>
          </cell>
          <cell r="F114">
            <v>110</v>
          </cell>
          <cell r="G114">
            <v>19</v>
          </cell>
        </row>
        <row r="115">
          <cell r="A115">
            <v>86</v>
          </cell>
          <cell r="B115" t="str">
            <v>Enna</v>
          </cell>
          <cell r="C115">
            <v>114</v>
          </cell>
          <cell r="E115">
            <v>115</v>
          </cell>
          <cell r="F115">
            <v>112</v>
          </cell>
          <cell r="G115">
            <v>30</v>
          </cell>
        </row>
        <row r="116">
          <cell r="A116">
            <v>87</v>
          </cell>
          <cell r="B116" t="str">
            <v>Catania</v>
          </cell>
          <cell r="C116">
            <v>115</v>
          </cell>
          <cell r="E116">
            <v>116</v>
          </cell>
          <cell r="F116">
            <v>111</v>
          </cell>
          <cell r="G116">
            <v>22</v>
          </cell>
        </row>
        <row r="117">
          <cell r="A117">
            <v>88</v>
          </cell>
          <cell r="B117" t="str">
            <v>Ragusa</v>
          </cell>
          <cell r="C117">
            <v>116</v>
          </cell>
          <cell r="E117">
            <v>117</v>
          </cell>
          <cell r="F117">
            <v>115</v>
          </cell>
          <cell r="G117">
            <v>73</v>
          </cell>
        </row>
        <row r="118">
          <cell r="A118">
            <v>89</v>
          </cell>
          <cell r="B118" t="str">
            <v>Siracusa</v>
          </cell>
          <cell r="C118">
            <v>117</v>
          </cell>
          <cell r="E118">
            <v>118</v>
          </cell>
          <cell r="F118">
            <v>116</v>
          </cell>
          <cell r="G118">
            <v>85</v>
          </cell>
        </row>
        <row r="119">
          <cell r="A119">
            <v>19</v>
          </cell>
          <cell r="B119" t="str">
            <v>SICILIA</v>
          </cell>
          <cell r="C119">
            <v>118</v>
          </cell>
          <cell r="E119">
            <v>109</v>
          </cell>
          <cell r="F119">
            <v>118</v>
          </cell>
          <cell r="G119">
            <v>122</v>
          </cell>
        </row>
        <row r="120">
          <cell r="A120">
            <v>90</v>
          </cell>
          <cell r="B120" t="str">
            <v>Sassari</v>
          </cell>
          <cell r="C120">
            <v>119</v>
          </cell>
          <cell r="E120">
            <v>120</v>
          </cell>
          <cell r="F120">
            <v>122</v>
          </cell>
          <cell r="G120">
            <v>82</v>
          </cell>
        </row>
        <row r="121">
          <cell r="A121">
            <v>91</v>
          </cell>
          <cell r="B121" t="str">
            <v>Nuoro</v>
          </cell>
          <cell r="C121">
            <v>120</v>
          </cell>
          <cell r="E121">
            <v>121</v>
          </cell>
          <cell r="F121">
            <v>120</v>
          </cell>
          <cell r="G121">
            <v>58</v>
          </cell>
        </row>
        <row r="122">
          <cell r="A122">
            <v>95</v>
          </cell>
          <cell r="B122" t="str">
            <v>Oristano</v>
          </cell>
          <cell r="C122">
            <v>121</v>
          </cell>
          <cell r="E122">
            <v>122</v>
          </cell>
          <cell r="F122">
            <v>121</v>
          </cell>
          <cell r="G122">
            <v>59</v>
          </cell>
        </row>
        <row r="123">
          <cell r="A123">
            <v>92</v>
          </cell>
          <cell r="B123" t="str">
            <v>Cagliari</v>
          </cell>
          <cell r="C123">
            <v>122</v>
          </cell>
          <cell r="E123">
            <v>123</v>
          </cell>
          <cell r="F123">
            <v>119</v>
          </cell>
          <cell r="G123">
            <v>18</v>
          </cell>
        </row>
        <row r="124">
          <cell r="A124">
            <v>20</v>
          </cell>
          <cell r="B124" t="str">
            <v>SARDEGNA</v>
          </cell>
          <cell r="C124">
            <v>123</v>
          </cell>
          <cell r="E124">
            <v>119</v>
          </cell>
          <cell r="F124">
            <v>123</v>
          </cell>
          <cell r="G124">
            <v>123</v>
          </cell>
        </row>
        <row r="125">
          <cell r="B125" t="str">
            <v xml:space="preserve">   Nord-Ovest</v>
          </cell>
          <cell r="C125">
            <v>124</v>
          </cell>
          <cell r="D125">
            <v>124</v>
          </cell>
          <cell r="E125">
            <v>124</v>
          </cell>
          <cell r="F125">
            <v>124</v>
          </cell>
          <cell r="G125">
            <v>124</v>
          </cell>
        </row>
        <row r="126">
          <cell r="B126" t="str">
            <v xml:space="preserve">   Nord-Est</v>
          </cell>
          <cell r="C126">
            <v>125</v>
          </cell>
          <cell r="D126">
            <v>125</v>
          </cell>
          <cell r="E126">
            <v>125</v>
          </cell>
          <cell r="F126">
            <v>125</v>
          </cell>
          <cell r="G126">
            <v>125</v>
          </cell>
        </row>
        <row r="127">
          <cell r="B127" t="str">
            <v xml:space="preserve">   Centro</v>
          </cell>
          <cell r="C127">
            <v>126</v>
          </cell>
          <cell r="D127">
            <v>126</v>
          </cell>
          <cell r="E127">
            <v>126</v>
          </cell>
          <cell r="F127">
            <v>126</v>
          </cell>
          <cell r="G127">
            <v>126</v>
          </cell>
        </row>
        <row r="128">
          <cell r="B128" t="str">
            <v xml:space="preserve">   Sud e Isole</v>
          </cell>
          <cell r="C128">
            <v>127</v>
          </cell>
          <cell r="D128">
            <v>127</v>
          </cell>
          <cell r="E128">
            <v>127</v>
          </cell>
          <cell r="F128">
            <v>127</v>
          </cell>
          <cell r="G128">
            <v>127</v>
          </cell>
        </row>
        <row r="129">
          <cell r="B129" t="str">
            <v>ITALIA</v>
          </cell>
          <cell r="C129">
            <v>128</v>
          </cell>
          <cell r="D129">
            <v>128</v>
          </cell>
          <cell r="E129">
            <v>128</v>
          </cell>
          <cell r="F129">
            <v>128</v>
          </cell>
          <cell r="G129">
            <v>128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7BB42-E68C-4424-BACE-6E067231A298}">
  <dimension ref="A1:S81"/>
  <sheetViews>
    <sheetView tabSelected="1" zoomScaleNormal="100" workbookViewId="0">
      <selection activeCell="I38" sqref="I38"/>
    </sheetView>
  </sheetViews>
  <sheetFormatPr defaultRowHeight="11.25" x14ac:dyDescent="0.2"/>
  <cols>
    <col min="1" max="1" width="24" style="12" customWidth="1"/>
    <col min="2" max="3" width="12.28515625" style="12" customWidth="1"/>
    <col min="4" max="4" width="11.42578125" style="12" customWidth="1"/>
    <col min="5" max="5" width="0.85546875" style="12" customWidth="1"/>
    <col min="6" max="6" width="14" style="12" customWidth="1"/>
    <col min="7" max="7" width="13" style="12" customWidth="1"/>
    <col min="8" max="8" width="10.28515625" style="17" customWidth="1"/>
    <col min="9" max="9" width="17.85546875" style="12" customWidth="1"/>
    <col min="10" max="10" width="21.140625" style="12" customWidth="1"/>
    <col min="11" max="11" width="19.7109375" style="12" customWidth="1"/>
    <col min="12" max="14" width="9.140625" style="12"/>
    <col min="15" max="15" width="11.5703125" style="12" customWidth="1"/>
    <col min="16" max="16384" width="9.140625" style="12"/>
  </cols>
  <sheetData>
    <row r="1" spans="1:19" s="1" customFormat="1" ht="12.75" customHeight="1" x14ac:dyDescent="0.2">
      <c r="H1" s="2"/>
      <c r="I1" s="3"/>
      <c r="J1" s="4"/>
      <c r="K1" s="2"/>
      <c r="L1" s="2"/>
      <c r="M1" s="4"/>
      <c r="N1" s="5"/>
      <c r="O1" s="6"/>
      <c r="P1" s="4"/>
      <c r="Q1" s="7"/>
    </row>
    <row r="2" spans="1:19" s="1" customFormat="1" ht="12.75" customHeight="1" x14ac:dyDescent="0.2">
      <c r="B2" s="8"/>
      <c r="C2" s="8"/>
      <c r="D2" s="2"/>
      <c r="E2" s="2"/>
      <c r="F2" s="2"/>
      <c r="G2" s="2"/>
      <c r="H2" s="2"/>
    </row>
    <row r="3" spans="1:19" s="11" customFormat="1" ht="12.75" customHeight="1" x14ac:dyDescent="0.2">
      <c r="A3" s="9" t="s">
        <v>0</v>
      </c>
      <c r="B3" s="10"/>
      <c r="C3" s="10"/>
    </row>
    <row r="4" spans="1:19" ht="11.25" customHeight="1" x14ac:dyDescent="0.2">
      <c r="B4" s="8"/>
      <c r="C4" s="8"/>
      <c r="D4" s="2"/>
      <c r="E4" s="2"/>
      <c r="F4" s="2"/>
      <c r="G4" s="2"/>
      <c r="H4" s="2"/>
      <c r="I4" s="1"/>
      <c r="J4" s="1"/>
    </row>
    <row r="5" spans="1:19" s="16" customFormat="1" ht="33" customHeight="1" x14ac:dyDescent="0.2">
      <c r="A5" s="83" t="s">
        <v>85</v>
      </c>
      <c r="B5" s="84"/>
      <c r="C5" s="84"/>
      <c r="D5" s="84"/>
      <c r="E5" s="84"/>
      <c r="F5" s="84"/>
      <c r="G5" s="84"/>
      <c r="H5" s="13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1:19" ht="11.25" customHeight="1" x14ac:dyDescent="0.2">
      <c r="J6" s="18"/>
      <c r="K6" s="19"/>
      <c r="L6" s="19"/>
      <c r="M6" s="4"/>
      <c r="N6" s="4"/>
      <c r="O6" s="19"/>
      <c r="P6" s="4"/>
      <c r="Q6" s="4"/>
      <c r="R6" s="1"/>
      <c r="S6" s="1"/>
    </row>
    <row r="7" spans="1:19" ht="21.95" customHeight="1" x14ac:dyDescent="0.2">
      <c r="A7" s="85" t="s">
        <v>1</v>
      </c>
      <c r="B7" s="87" t="s">
        <v>2</v>
      </c>
      <c r="C7" s="87"/>
      <c r="D7" s="88" t="s">
        <v>86</v>
      </c>
      <c r="E7" s="20"/>
      <c r="F7" s="90" t="s">
        <v>3</v>
      </c>
      <c r="G7" s="90"/>
      <c r="J7" s="21"/>
      <c r="K7" s="18"/>
      <c r="L7" s="91"/>
      <c r="M7" s="4"/>
      <c r="N7" s="18"/>
      <c r="O7" s="18"/>
      <c r="P7" s="4"/>
      <c r="Q7" s="4"/>
      <c r="R7" s="1"/>
      <c r="S7" s="1"/>
    </row>
    <row r="8" spans="1:19" ht="15" customHeight="1" x14ac:dyDescent="0.2">
      <c r="A8" s="86"/>
      <c r="B8" s="52">
        <v>2022</v>
      </c>
      <c r="C8" s="52">
        <v>2023</v>
      </c>
      <c r="D8" s="89"/>
      <c r="E8" s="22"/>
      <c r="F8" s="52">
        <v>2022</v>
      </c>
      <c r="G8" s="52">
        <v>2023</v>
      </c>
      <c r="I8" s="39"/>
      <c r="J8" s="79"/>
      <c r="K8" s="69"/>
      <c r="L8" s="91"/>
      <c r="M8" s="18"/>
      <c r="N8" s="21"/>
      <c r="O8" s="4"/>
      <c r="P8" s="4"/>
      <c r="Q8" s="7"/>
      <c r="R8" s="1"/>
      <c r="S8" s="1"/>
    </row>
    <row r="9" spans="1:19" s="31" customFormat="1" ht="11.25" customHeight="1" x14ac:dyDescent="0.2">
      <c r="A9" s="19" t="s">
        <v>4</v>
      </c>
      <c r="B9" s="23">
        <v>12061274.067</v>
      </c>
      <c r="C9" s="23">
        <v>11975838.220000001</v>
      </c>
      <c r="D9" s="24">
        <v>-0.70834844250620366</v>
      </c>
      <c r="E9" s="25"/>
      <c r="F9" s="26">
        <v>8.5046172615228084</v>
      </c>
      <c r="G9" s="26">
        <f>C9/$C$38*100</f>
        <v>8.7575191180837919</v>
      </c>
      <c r="H9" s="26"/>
      <c r="I9" s="23"/>
      <c r="J9" s="79"/>
      <c r="K9" s="69"/>
      <c r="L9" s="27"/>
      <c r="M9" s="28"/>
      <c r="N9" s="29"/>
      <c r="O9" s="30"/>
      <c r="P9" s="30"/>
      <c r="Q9" s="28"/>
      <c r="R9" s="14"/>
      <c r="S9" s="14"/>
    </row>
    <row r="10" spans="1:19" s="31" customFormat="1" ht="11.25" customHeight="1" x14ac:dyDescent="0.2">
      <c r="A10" s="32" t="s">
        <v>5</v>
      </c>
      <c r="B10" s="23">
        <v>279344.72700000001</v>
      </c>
      <c r="C10" s="23">
        <v>245371.77499999999</v>
      </c>
      <c r="D10" s="24">
        <v>-12.16165859468685</v>
      </c>
      <c r="E10" s="25"/>
      <c r="F10" s="26">
        <v>0.19697089826186906</v>
      </c>
      <c r="G10" s="26">
        <f t="shared" ref="G10:G38" si="0">C10/$C$38*100</f>
        <v>0.17943195049278604</v>
      </c>
      <c r="H10" s="26"/>
      <c r="I10" s="68"/>
      <c r="J10" s="79"/>
      <c r="K10" s="69"/>
      <c r="L10" s="27"/>
      <c r="M10" s="28"/>
      <c r="N10" s="29"/>
      <c r="O10" s="30"/>
      <c r="P10" s="30"/>
      <c r="Q10" s="28"/>
      <c r="R10" s="14"/>
      <c r="S10" s="14"/>
    </row>
    <row r="11" spans="1:19" s="31" customFormat="1" ht="11.25" customHeight="1" x14ac:dyDescent="0.2">
      <c r="A11" s="19" t="s">
        <v>6</v>
      </c>
      <c r="B11" s="23">
        <v>4647558.5070000002</v>
      </c>
      <c r="C11" s="23">
        <v>4156146.8470000001</v>
      </c>
      <c r="D11" s="24">
        <v>-10.57354435150955</v>
      </c>
      <c r="E11" s="25"/>
      <c r="F11" s="26">
        <v>3.2770755463316155</v>
      </c>
      <c r="G11" s="26">
        <f t="shared" si="0"/>
        <v>3.0392474248175154</v>
      </c>
      <c r="H11" s="26"/>
      <c r="I11" s="68"/>
      <c r="J11" s="79"/>
      <c r="K11" s="69"/>
      <c r="L11" s="27"/>
      <c r="M11" s="28"/>
      <c r="N11" s="29"/>
      <c r="O11" s="30"/>
      <c r="P11" s="30"/>
      <c r="Q11" s="28"/>
      <c r="R11" s="14"/>
      <c r="S11" s="14"/>
    </row>
    <row r="12" spans="1:19" s="31" customFormat="1" ht="11.25" customHeight="1" x14ac:dyDescent="0.2">
      <c r="A12" s="19" t="s">
        <v>7</v>
      </c>
      <c r="B12" s="23">
        <v>27116617.657000002</v>
      </c>
      <c r="C12" s="23">
        <v>25044459.134</v>
      </c>
      <c r="D12" s="24">
        <v>-7.6416555678546647</v>
      </c>
      <c r="E12" s="25"/>
      <c r="F12" s="26">
        <v>19.120405797826098</v>
      </c>
      <c r="G12" s="26">
        <f t="shared" si="0"/>
        <v>18.314152683007208</v>
      </c>
      <c r="H12" s="26"/>
      <c r="I12" s="23"/>
      <c r="J12" s="79"/>
      <c r="K12" s="69"/>
      <c r="L12" s="27"/>
      <c r="M12" s="28"/>
      <c r="N12" s="29"/>
      <c r="O12" s="30"/>
      <c r="P12" s="30"/>
      <c r="Q12" s="28"/>
      <c r="R12" s="14"/>
      <c r="S12" s="14"/>
    </row>
    <row r="13" spans="1:19" s="31" customFormat="1" ht="11.25" customHeight="1" x14ac:dyDescent="0.2">
      <c r="A13" s="14" t="s">
        <v>8</v>
      </c>
      <c r="B13" s="23">
        <v>3900907.5260000001</v>
      </c>
      <c r="C13" s="23">
        <v>3707996.068</v>
      </c>
      <c r="D13" s="24">
        <v>-4.9452968755148108</v>
      </c>
      <c r="E13" s="25"/>
      <c r="F13" s="26">
        <v>2.7505987590476524</v>
      </c>
      <c r="G13" s="26">
        <f t="shared" si="0"/>
        <v>2.7115301541948793</v>
      </c>
      <c r="H13" s="26"/>
      <c r="I13" s="80"/>
      <c r="J13" s="79"/>
      <c r="K13" s="69"/>
      <c r="L13" s="27"/>
      <c r="M13" s="28"/>
      <c r="N13" s="29"/>
      <c r="O13" s="30"/>
      <c r="P13" s="30"/>
      <c r="Q13" s="28"/>
      <c r="R13" s="14"/>
      <c r="S13" s="14"/>
    </row>
    <row r="14" spans="1:19" s="31" customFormat="1" ht="11.25" customHeight="1" x14ac:dyDescent="0.2">
      <c r="A14" s="33" t="s">
        <v>9</v>
      </c>
      <c r="B14" s="23">
        <v>1883074.7960000001</v>
      </c>
      <c r="C14" s="23">
        <v>1883828.8089999999</v>
      </c>
      <c r="D14" s="24">
        <v>4.0041585262649469E-2</v>
      </c>
      <c r="E14" s="25"/>
      <c r="F14" s="26">
        <v>1.327789280455635</v>
      </c>
      <c r="G14" s="26">
        <f t="shared" si="0"/>
        <v>1.3775792981624397</v>
      </c>
      <c r="H14" s="26"/>
      <c r="I14" s="68"/>
      <c r="J14" s="79"/>
      <c r="K14" s="69"/>
      <c r="L14" s="27"/>
      <c r="M14" s="28"/>
      <c r="N14" s="29"/>
      <c r="O14" s="30"/>
      <c r="P14" s="30"/>
      <c r="Q14" s="28"/>
      <c r="R14" s="14"/>
      <c r="S14" s="14"/>
    </row>
    <row r="15" spans="1:19" s="31" customFormat="1" ht="11.25" customHeight="1" x14ac:dyDescent="0.2">
      <c r="A15" s="33" t="s">
        <v>10</v>
      </c>
      <c r="B15" s="23">
        <v>2017832.73</v>
      </c>
      <c r="C15" s="23">
        <v>1824167.2590000001</v>
      </c>
      <c r="D15" s="24">
        <v>-9.5976969805619081</v>
      </c>
      <c r="E15" s="25"/>
      <c r="F15" s="26">
        <v>1.4228094785920176</v>
      </c>
      <c r="G15" s="26">
        <f t="shared" si="0"/>
        <v>1.3339508560324398</v>
      </c>
      <c r="H15" s="26"/>
      <c r="I15" s="68"/>
      <c r="J15" s="79"/>
      <c r="K15" s="69"/>
      <c r="L15" s="27"/>
      <c r="M15" s="28"/>
      <c r="N15" s="29"/>
      <c r="O15" s="30"/>
      <c r="P15" s="30"/>
      <c r="Q15" s="28"/>
      <c r="R15" s="14"/>
      <c r="S15" s="14"/>
    </row>
    <row r="16" spans="1:19" s="31" customFormat="1" ht="11.25" customHeight="1" x14ac:dyDescent="0.2">
      <c r="A16" s="19" t="s">
        <v>11</v>
      </c>
      <c r="B16" s="23">
        <v>18649783.318999998</v>
      </c>
      <c r="C16" s="23">
        <v>18911020.515000001</v>
      </c>
      <c r="D16" s="24">
        <v>1.4007519097225087</v>
      </c>
      <c r="E16" s="25"/>
      <c r="F16" s="26">
        <v>13.150291441630294</v>
      </c>
      <c r="G16" s="26">
        <f t="shared" si="0"/>
        <v>13.828979705654984</v>
      </c>
      <c r="H16" s="26"/>
      <c r="I16" s="23"/>
      <c r="J16" s="79"/>
      <c r="K16" s="69"/>
      <c r="L16" s="27"/>
      <c r="M16" s="28"/>
      <c r="N16" s="29"/>
      <c r="O16" s="30"/>
      <c r="P16" s="30"/>
      <c r="Q16" s="28"/>
      <c r="R16" s="14"/>
      <c r="S16" s="14"/>
    </row>
    <row r="17" spans="1:19" s="31" customFormat="1" ht="11.25" customHeight="1" x14ac:dyDescent="0.2">
      <c r="A17" s="19" t="s">
        <v>12</v>
      </c>
      <c r="B17" s="23">
        <v>3546748.9679999999</v>
      </c>
      <c r="C17" s="23">
        <v>3172437.662</v>
      </c>
      <c r="D17" s="24">
        <v>-10.553645306650299</v>
      </c>
      <c r="E17" s="25"/>
      <c r="F17" s="26">
        <v>2.5008753078640247</v>
      </c>
      <c r="G17" s="26">
        <f t="shared" si="0"/>
        <v>2.3198946884148914</v>
      </c>
      <c r="H17" s="26"/>
      <c r="I17" s="68"/>
      <c r="J17" s="79"/>
      <c r="K17" s="69"/>
      <c r="L17" s="27"/>
      <c r="M17" s="28"/>
      <c r="N17" s="29"/>
      <c r="O17" s="30"/>
      <c r="P17" s="30"/>
      <c r="Q17" s="28"/>
      <c r="R17" s="14"/>
      <c r="S17" s="14"/>
    </row>
    <row r="18" spans="1:19" s="31" customFormat="1" ht="11.25" customHeight="1" x14ac:dyDescent="0.2">
      <c r="A18" s="19" t="s">
        <v>13</v>
      </c>
      <c r="B18" s="23">
        <v>18236414.748</v>
      </c>
      <c r="C18" s="23">
        <v>18033264.434</v>
      </c>
      <c r="D18" s="24">
        <v>-1.113981650490149</v>
      </c>
      <c r="E18" s="25"/>
      <c r="F18" s="26">
        <v>12.858817965049887</v>
      </c>
      <c r="G18" s="26">
        <f t="shared" si="0"/>
        <v>13.187106834699334</v>
      </c>
      <c r="H18" s="26"/>
      <c r="I18" s="23"/>
      <c r="J18" s="79"/>
      <c r="K18" s="69"/>
      <c r="L18" s="27"/>
      <c r="M18" s="28"/>
      <c r="N18" s="29"/>
      <c r="O18" s="30"/>
      <c r="P18" s="30"/>
      <c r="Q18" s="28"/>
      <c r="R18" s="14"/>
      <c r="S18" s="14"/>
    </row>
    <row r="19" spans="1:19" s="31" customFormat="1" ht="11.25" customHeight="1" x14ac:dyDescent="0.2">
      <c r="A19" s="19" t="s">
        <v>14</v>
      </c>
      <c r="B19" s="23">
        <v>9568955.4399999995</v>
      </c>
      <c r="C19" s="23">
        <v>9039210.0010000002</v>
      </c>
      <c r="D19" s="24">
        <v>-5.5360842917667439</v>
      </c>
      <c r="E19" s="25"/>
      <c r="F19" s="26">
        <v>6.7472394008876275</v>
      </c>
      <c r="G19" s="26">
        <f t="shared" si="0"/>
        <v>6.610063775237915</v>
      </c>
      <c r="H19" s="26"/>
      <c r="I19" s="68"/>
      <c r="J19" s="81"/>
      <c r="K19" s="69"/>
      <c r="L19" s="27"/>
      <c r="M19" s="28"/>
      <c r="N19" s="29"/>
      <c r="O19" s="30"/>
      <c r="P19" s="30"/>
      <c r="Q19" s="28"/>
      <c r="R19" s="14"/>
      <c r="S19" s="14"/>
    </row>
    <row r="20" spans="1:19" s="31" customFormat="1" ht="11.25" customHeight="1" x14ac:dyDescent="0.2">
      <c r="A20" s="19" t="s">
        <v>15</v>
      </c>
      <c r="B20" s="23">
        <v>2681683.42</v>
      </c>
      <c r="C20" s="23">
        <v>2772758.2230000002</v>
      </c>
      <c r="D20" s="24">
        <v>3.3961802620236328</v>
      </c>
      <c r="E20" s="25"/>
      <c r="F20" s="26">
        <v>1.8909023190237666</v>
      </c>
      <c r="G20" s="26">
        <f t="shared" si="0"/>
        <v>2.0276228437349872</v>
      </c>
      <c r="H20" s="26"/>
      <c r="I20" s="68"/>
      <c r="J20" s="79"/>
      <c r="K20" s="69"/>
      <c r="L20" s="27"/>
      <c r="M20" s="28"/>
      <c r="N20" s="29"/>
      <c r="O20" s="30"/>
      <c r="P20" s="30"/>
      <c r="Q20" s="28"/>
      <c r="R20" s="14"/>
      <c r="S20" s="14"/>
    </row>
    <row r="21" spans="1:19" s="31" customFormat="1" ht="11.25" customHeight="1" x14ac:dyDescent="0.2">
      <c r="A21" s="19" t="s">
        <v>16</v>
      </c>
      <c r="B21" s="23">
        <v>3703629.6830000002</v>
      </c>
      <c r="C21" s="23">
        <v>3742513.3650000002</v>
      </c>
      <c r="D21" s="24">
        <v>1.0498803964791537</v>
      </c>
      <c r="E21" s="25"/>
      <c r="F21" s="26">
        <v>2.6114946694155114</v>
      </c>
      <c r="G21" s="26">
        <f t="shared" si="0"/>
        <v>2.7367714678156041</v>
      </c>
      <c r="H21" s="26"/>
      <c r="I21" s="68"/>
      <c r="J21" s="76"/>
      <c r="K21" s="69"/>
      <c r="L21" s="27"/>
      <c r="M21" s="28"/>
      <c r="N21" s="29"/>
      <c r="O21" s="30"/>
      <c r="P21" s="30"/>
      <c r="Q21" s="28"/>
      <c r="R21" s="14"/>
      <c r="S21" s="14"/>
    </row>
    <row r="22" spans="1:19" s="31" customFormat="1" ht="11.25" customHeight="1" x14ac:dyDescent="0.2">
      <c r="A22" s="19" t="s">
        <v>17</v>
      </c>
      <c r="B22" s="23">
        <v>8966629.2210000008</v>
      </c>
      <c r="C22" s="23">
        <v>7447300.6610000003</v>
      </c>
      <c r="D22" s="24">
        <v>-16.944255444863344</v>
      </c>
      <c r="E22" s="25"/>
      <c r="F22" s="26">
        <v>6.322528551045437</v>
      </c>
      <c r="G22" s="26">
        <f t="shared" si="0"/>
        <v>5.4459551572687799</v>
      </c>
      <c r="H22" s="26"/>
      <c r="I22" s="68"/>
      <c r="J22" s="76"/>
      <c r="K22" s="69"/>
      <c r="L22" s="27"/>
      <c r="M22" s="28"/>
      <c r="N22" s="29"/>
      <c r="O22" s="30"/>
      <c r="P22" s="30"/>
      <c r="Q22" s="28"/>
      <c r="R22" s="14"/>
      <c r="S22" s="14"/>
    </row>
    <row r="23" spans="1:19" s="31" customFormat="1" ht="11.25" customHeight="1" x14ac:dyDescent="0.2">
      <c r="A23" s="19" t="s">
        <v>18</v>
      </c>
      <c r="B23" s="23">
        <v>3336165.5219999999</v>
      </c>
      <c r="C23" s="23">
        <v>3030350.9019999998</v>
      </c>
      <c r="D23" s="24">
        <v>-9.1666500952466876</v>
      </c>
      <c r="E23" s="25"/>
      <c r="F23" s="26">
        <v>2.3523892026736455</v>
      </c>
      <c r="G23" s="26">
        <f t="shared" si="0"/>
        <v>2.2159915215327168</v>
      </c>
      <c r="H23" s="26"/>
      <c r="I23" s="68"/>
      <c r="J23" s="76"/>
      <c r="K23" s="69"/>
      <c r="L23" s="27"/>
      <c r="M23" s="28"/>
      <c r="N23" s="29"/>
      <c r="O23" s="30"/>
      <c r="P23" s="30"/>
      <c r="Q23" s="28"/>
      <c r="R23" s="14"/>
      <c r="S23" s="14"/>
    </row>
    <row r="24" spans="1:19" s="31" customFormat="1" ht="11.25" customHeight="1" x14ac:dyDescent="0.2">
      <c r="A24" s="19" t="s">
        <v>19</v>
      </c>
      <c r="B24" s="23">
        <v>622951.42500000005</v>
      </c>
      <c r="C24" s="23">
        <v>835284.55299999996</v>
      </c>
      <c r="D24" s="24">
        <v>34.085021637120406</v>
      </c>
      <c r="E24" s="25"/>
      <c r="F24" s="26">
        <v>0.43925404668820306</v>
      </c>
      <c r="G24" s="26">
        <f t="shared" si="0"/>
        <v>0.61081490143389516</v>
      </c>
      <c r="H24" s="26"/>
      <c r="I24" s="68"/>
      <c r="J24" s="76"/>
      <c r="K24" s="69"/>
      <c r="L24" s="27"/>
      <c r="M24" s="28"/>
      <c r="N24" s="29"/>
      <c r="O24" s="30"/>
      <c r="P24" s="30"/>
      <c r="Q24" s="28"/>
      <c r="R24" s="14"/>
      <c r="S24" s="14"/>
    </row>
    <row r="25" spans="1:19" s="31" customFormat="1" ht="11.25" customHeight="1" x14ac:dyDescent="0.2">
      <c r="A25" s="19" t="s">
        <v>20</v>
      </c>
      <c r="B25" s="23">
        <v>8583719.8599999994</v>
      </c>
      <c r="C25" s="23">
        <v>8621861.9600000009</v>
      </c>
      <c r="D25" s="24">
        <v>0.44435397033101098</v>
      </c>
      <c r="E25" s="25"/>
      <c r="F25" s="26">
        <v>6.052532401130466</v>
      </c>
      <c r="G25" s="26">
        <f t="shared" si="0"/>
        <v>6.3048714888350759</v>
      </c>
      <c r="H25" s="26"/>
      <c r="I25" s="68"/>
      <c r="J25" s="76"/>
      <c r="K25" s="69"/>
      <c r="L25" s="27"/>
      <c r="M25" s="28"/>
      <c r="N25" s="29"/>
      <c r="O25" s="30"/>
      <c r="P25" s="30"/>
      <c r="Q25" s="28"/>
      <c r="R25" s="14"/>
      <c r="S25" s="14"/>
    </row>
    <row r="26" spans="1:19" s="31" customFormat="1" ht="11.25" customHeight="1" x14ac:dyDescent="0.2">
      <c r="A26" s="19" t="s">
        <v>21</v>
      </c>
      <c r="B26" s="23">
        <v>6955515.8329999996</v>
      </c>
      <c r="C26" s="23">
        <v>6820298.4550000001</v>
      </c>
      <c r="D26" s="24">
        <v>-1.9440309136882323</v>
      </c>
      <c r="E26" s="25"/>
      <c r="F26" s="26">
        <v>4.904456999113723</v>
      </c>
      <c r="G26" s="26">
        <f t="shared" si="0"/>
        <v>4.9874499816598101</v>
      </c>
      <c r="H26" s="26"/>
      <c r="I26" s="68"/>
      <c r="J26" s="76"/>
      <c r="K26" s="69"/>
      <c r="L26" s="27"/>
      <c r="M26" s="28"/>
      <c r="N26" s="29"/>
      <c r="O26" s="30"/>
      <c r="P26" s="30"/>
      <c r="Q26" s="28"/>
      <c r="R26" s="14"/>
      <c r="S26" s="14"/>
    </row>
    <row r="27" spans="1:19" s="31" customFormat="1" ht="11.25" customHeight="1" x14ac:dyDescent="0.2">
      <c r="A27" s="19" t="s">
        <v>22</v>
      </c>
      <c r="B27" s="23">
        <v>1384940.105</v>
      </c>
      <c r="C27" s="23">
        <v>1399111.699</v>
      </c>
      <c r="D27" s="24">
        <v>1.0232640349453985</v>
      </c>
      <c r="E27" s="25"/>
      <c r="F27" s="26">
        <v>0.97654571629246179</v>
      </c>
      <c r="G27" s="26">
        <f t="shared" si="0"/>
        <v>1.023122325739567</v>
      </c>
      <c r="H27" s="26"/>
      <c r="I27" s="68"/>
      <c r="J27" s="76"/>
      <c r="K27" s="69"/>
      <c r="L27" s="27"/>
      <c r="M27" s="28"/>
      <c r="N27" s="29"/>
      <c r="O27" s="30"/>
      <c r="P27" s="30"/>
      <c r="Q27" s="28"/>
      <c r="R27" s="14"/>
      <c r="S27" s="14"/>
    </row>
    <row r="28" spans="1:19" s="31" customFormat="1" ht="11.25" customHeight="1" x14ac:dyDescent="0.2">
      <c r="A28" s="19" t="s">
        <v>23</v>
      </c>
      <c r="B28" s="23">
        <v>1398296.9269999999</v>
      </c>
      <c r="C28" s="23">
        <v>1615325.821</v>
      </c>
      <c r="D28" s="24">
        <v>15.520944787143916</v>
      </c>
      <c r="E28" s="25"/>
      <c r="F28" s="26">
        <v>0.98596384727176567</v>
      </c>
      <c r="G28" s="26">
        <f t="shared" si="0"/>
        <v>1.1812322861640909</v>
      </c>
      <c r="H28" s="26"/>
      <c r="I28" s="68"/>
      <c r="J28" s="76"/>
      <c r="K28" s="69"/>
      <c r="L28" s="27"/>
      <c r="M28" s="28"/>
      <c r="N28" s="29"/>
      <c r="O28" s="30"/>
      <c r="P28" s="30"/>
      <c r="Q28" s="28"/>
      <c r="R28" s="14"/>
      <c r="S28" s="14"/>
    </row>
    <row r="29" spans="1:19" s="31" customFormat="1" ht="11.25" customHeight="1" x14ac:dyDescent="0.2">
      <c r="A29" s="19" t="s">
        <v>24</v>
      </c>
      <c r="B29" s="23">
        <v>4628534.43</v>
      </c>
      <c r="C29" s="23">
        <v>4368201.2180000003</v>
      </c>
      <c r="D29" s="24">
        <v>-5.6245279350768351</v>
      </c>
      <c r="E29" s="25"/>
      <c r="F29" s="26">
        <v>3.2636613338081299</v>
      </c>
      <c r="G29" s="26">
        <f t="shared" si="0"/>
        <v>3.1943155022239362</v>
      </c>
      <c r="H29" s="26"/>
      <c r="I29" s="54"/>
      <c r="J29" s="76"/>
      <c r="K29" s="69"/>
      <c r="L29" s="27"/>
      <c r="M29" s="28"/>
      <c r="N29" s="29"/>
      <c r="O29" s="30"/>
      <c r="P29" s="30"/>
      <c r="Q29" s="28"/>
      <c r="R29" s="14"/>
      <c r="S29" s="14"/>
    </row>
    <row r="30" spans="1:19" s="31" customFormat="1" ht="11.25" customHeight="1" x14ac:dyDescent="0.2">
      <c r="A30" s="19" t="s">
        <v>25</v>
      </c>
      <c r="B30" s="23">
        <v>1550632.764</v>
      </c>
      <c r="C30" s="23">
        <v>1810458.6059999999</v>
      </c>
      <c r="D30" s="24">
        <v>16.756117117618182</v>
      </c>
      <c r="E30" s="25"/>
      <c r="F30" s="26">
        <v>1.0933785351150185</v>
      </c>
      <c r="G30" s="26">
        <f t="shared" si="0"/>
        <v>1.3239261889882421</v>
      </c>
      <c r="H30" s="26"/>
      <c r="I30" s="54"/>
      <c r="J30" s="76"/>
      <c r="K30" s="69"/>
      <c r="L30" s="27"/>
      <c r="M30" s="28"/>
      <c r="N30" s="29"/>
      <c r="O30" s="30"/>
      <c r="P30" s="30"/>
      <c r="Q30" s="28"/>
      <c r="R30" s="14"/>
      <c r="S30" s="14"/>
    </row>
    <row r="31" spans="1:19" ht="10.5" customHeight="1" x14ac:dyDescent="0.2">
      <c r="A31" s="34"/>
      <c r="B31" s="23"/>
      <c r="D31" s="24"/>
      <c r="E31" s="35"/>
      <c r="F31" s="26"/>
      <c r="G31" s="26"/>
      <c r="I31" s="1"/>
      <c r="J31" s="76"/>
      <c r="K31" s="69"/>
      <c r="L31" s="2"/>
      <c r="M31" s="7"/>
      <c r="N31" s="36"/>
      <c r="O31" s="37"/>
      <c r="P31" s="37"/>
      <c r="Q31" s="7"/>
      <c r="R31" s="1"/>
      <c r="S31" s="1"/>
    </row>
    <row r="32" spans="1:19" s="31" customFormat="1" ht="11.25" customHeight="1" x14ac:dyDescent="0.2">
      <c r="A32" s="38" t="s">
        <v>26</v>
      </c>
      <c r="B32" s="23">
        <v>44104794.958000004</v>
      </c>
      <c r="C32" s="23">
        <v>41421815.975999996</v>
      </c>
      <c r="D32" s="24">
        <v>-6.083191146348029</v>
      </c>
      <c r="E32" s="25"/>
      <c r="F32" s="26">
        <v>31.099069503942395</v>
      </c>
      <c r="G32" s="26">
        <f t="shared" si="0"/>
        <v>30.290351176401298</v>
      </c>
      <c r="H32" s="26"/>
      <c r="I32" s="54"/>
      <c r="J32" s="76"/>
      <c r="K32" s="69"/>
      <c r="L32" s="27"/>
      <c r="M32" s="27"/>
      <c r="N32" s="27"/>
    </row>
    <row r="33" spans="1:19" s="31" customFormat="1" ht="11.25" customHeight="1" x14ac:dyDescent="0.2">
      <c r="A33" s="38" t="s">
        <v>27</v>
      </c>
      <c r="B33" s="23">
        <v>44333854.560999997</v>
      </c>
      <c r="C33" s="23">
        <v>43824718.679000005</v>
      </c>
      <c r="D33" s="24">
        <v>-1.1484132995913083</v>
      </c>
      <c r="E33" s="25"/>
      <c r="F33" s="26">
        <v>31.260583473591858</v>
      </c>
      <c r="G33" s="26">
        <f t="shared" si="0"/>
        <v>32.047511382964096</v>
      </c>
      <c r="H33" s="26"/>
      <c r="I33" s="54"/>
      <c r="J33" s="76"/>
      <c r="K33" s="69"/>
      <c r="L33" s="27"/>
      <c r="M33" s="27"/>
      <c r="N33" s="27"/>
    </row>
    <row r="34" spans="1:19" s="31" customFormat="1" ht="11.25" customHeight="1" x14ac:dyDescent="0.2">
      <c r="A34" s="38" t="s">
        <v>28</v>
      </c>
      <c r="B34" s="23">
        <v>24920897.763999999</v>
      </c>
      <c r="C34" s="23">
        <v>23001782.25</v>
      </c>
      <c r="D34" s="24">
        <v>-7.7008281650763681</v>
      </c>
      <c r="E34" s="25"/>
      <c r="F34" s="26">
        <v>17.572164940372343</v>
      </c>
      <c r="G34" s="26">
        <f t="shared" si="0"/>
        <v>16.820413244057285</v>
      </c>
      <c r="H34" s="26"/>
      <c r="I34" s="54"/>
      <c r="J34" s="76"/>
      <c r="K34" s="69"/>
      <c r="L34" s="27"/>
      <c r="M34" s="27"/>
      <c r="N34" s="27"/>
    </row>
    <row r="35" spans="1:19" s="31" customFormat="1" ht="11.25" customHeight="1" x14ac:dyDescent="0.2">
      <c r="A35" s="38" t="s">
        <v>29</v>
      </c>
      <c r="B35" s="23">
        <f>SUM(B32:B34)</f>
        <v>113359547.28299999</v>
      </c>
      <c r="C35" s="23">
        <f>SUM(C32:C34)</f>
        <v>108248316.905</v>
      </c>
      <c r="D35" s="24">
        <v>-4.5088662582957388</v>
      </c>
      <c r="E35" s="25"/>
      <c r="F35" s="26">
        <v>79.931817917906585</v>
      </c>
      <c r="G35" s="26">
        <f t="shared" si="0"/>
        <v>79.158275803422669</v>
      </c>
      <c r="H35" s="26"/>
      <c r="I35" s="54"/>
      <c r="J35" s="76"/>
      <c r="K35" s="69"/>
      <c r="L35" s="27"/>
      <c r="M35" s="27"/>
      <c r="N35" s="27"/>
    </row>
    <row r="36" spans="1:19" s="31" customFormat="1" ht="12" customHeight="1" x14ac:dyDescent="0.2">
      <c r="A36" s="38" t="s">
        <v>30</v>
      </c>
      <c r="B36" s="23">
        <v>28460756.866</v>
      </c>
      <c r="C36" s="23">
        <v>28500893.214000002</v>
      </c>
      <c r="D36" s="24">
        <v>0.14102347379225583</v>
      </c>
      <c r="E36" s="25"/>
      <c r="F36" s="26">
        <v>20.068182082093415</v>
      </c>
      <c r="G36" s="26">
        <f t="shared" si="0"/>
        <v>20.841724196577335</v>
      </c>
      <c r="H36" s="26"/>
      <c r="I36" s="54"/>
      <c r="J36" s="76"/>
      <c r="K36" s="69"/>
      <c r="L36" s="27"/>
      <c r="M36" s="27"/>
      <c r="N36" s="27"/>
    </row>
    <row r="37" spans="1:19" ht="18.600000000000001" customHeight="1" x14ac:dyDescent="0.2">
      <c r="A37" s="39"/>
      <c r="B37" s="75"/>
      <c r="C37" s="82"/>
      <c r="D37" s="24"/>
      <c r="E37" s="35"/>
      <c r="F37" s="26"/>
      <c r="G37" s="26"/>
      <c r="H37" s="2"/>
      <c r="I37" s="54"/>
      <c r="J37" s="77"/>
      <c r="K37" s="77"/>
      <c r="L37" s="2"/>
      <c r="M37" s="1"/>
      <c r="N37" s="1"/>
    </row>
    <row r="38" spans="1:19" s="31" customFormat="1" ht="11.25" customHeight="1" x14ac:dyDescent="0.2">
      <c r="A38" s="19" t="s">
        <v>31</v>
      </c>
      <c r="B38" s="23">
        <v>141820304.14899999</v>
      </c>
      <c r="C38" s="23">
        <v>136749210.11899999</v>
      </c>
      <c r="D38" s="24">
        <v>-3.575717920243763</v>
      </c>
      <c r="E38" s="25"/>
      <c r="F38" s="26">
        <v>100</v>
      </c>
      <c r="G38" s="26">
        <f t="shared" si="0"/>
        <v>100</v>
      </c>
      <c r="H38" s="26"/>
      <c r="I38" s="54"/>
      <c r="J38" s="40"/>
      <c r="K38" s="27"/>
      <c r="L38" s="27"/>
      <c r="M38" s="27"/>
      <c r="N38" s="27"/>
      <c r="O38" s="30"/>
      <c r="P38" s="30"/>
      <c r="Q38" s="28"/>
      <c r="R38" s="14"/>
      <c r="S38" s="14"/>
    </row>
    <row r="39" spans="1:19" s="31" customFormat="1" ht="11.25" customHeight="1" x14ac:dyDescent="0.2">
      <c r="A39" s="19" t="s">
        <v>32</v>
      </c>
      <c r="B39" s="23">
        <v>9280010.9580000006</v>
      </c>
      <c r="C39" s="23">
        <v>8423687.4529999997</v>
      </c>
      <c r="D39" s="24">
        <v>-9.2276130801525795</v>
      </c>
      <c r="E39" s="25"/>
      <c r="F39" s="27"/>
      <c r="G39" s="27"/>
      <c r="H39" s="26"/>
      <c r="I39" s="60"/>
      <c r="J39" s="41"/>
      <c r="K39" s="27"/>
      <c r="L39" s="27"/>
      <c r="M39" s="42"/>
      <c r="N39" s="30"/>
      <c r="O39" s="30"/>
      <c r="P39" s="30"/>
      <c r="Q39" s="42"/>
      <c r="R39" s="14"/>
      <c r="S39" s="14"/>
    </row>
    <row r="40" spans="1:19" s="31" customFormat="1" ht="11.25" customHeight="1" x14ac:dyDescent="0.2">
      <c r="A40" s="43" t="s">
        <v>33</v>
      </c>
      <c r="B40" s="58">
        <v>151100315.10699999</v>
      </c>
      <c r="C40" s="58">
        <v>145172897.572</v>
      </c>
      <c r="D40" s="44">
        <v>-3.9228359853535464</v>
      </c>
      <c r="E40" s="45"/>
      <c r="F40" s="46"/>
      <c r="G40" s="46"/>
      <c r="H40" s="26"/>
      <c r="I40" s="60"/>
      <c r="J40" s="40"/>
      <c r="K40" s="27"/>
      <c r="L40" s="27"/>
      <c r="M40" s="42"/>
      <c r="N40" s="30"/>
      <c r="O40" s="30"/>
      <c r="P40" s="30"/>
      <c r="Q40" s="42"/>
      <c r="R40" s="14"/>
      <c r="S40" s="14"/>
    </row>
    <row r="41" spans="1:19" ht="11.25" customHeight="1" x14ac:dyDescent="0.2">
      <c r="A41" s="39"/>
      <c r="B41" s="39"/>
      <c r="C41" s="39"/>
      <c r="D41" s="39"/>
      <c r="E41" s="39"/>
      <c r="F41" s="39"/>
      <c r="G41" s="39"/>
      <c r="I41"/>
      <c r="J41" s="2"/>
      <c r="K41" s="2"/>
      <c r="L41" s="2"/>
      <c r="M41" s="4"/>
      <c r="N41" s="4"/>
      <c r="O41" s="4"/>
      <c r="P41" s="4"/>
      <c r="Q41" s="7"/>
      <c r="R41" s="1"/>
      <c r="S41" s="1"/>
    </row>
    <row r="42" spans="1:19" s="31" customFormat="1" ht="11.25" customHeight="1" x14ac:dyDescent="0.2">
      <c r="A42" s="47" t="s">
        <v>34</v>
      </c>
      <c r="B42" s="38"/>
      <c r="C42" s="38"/>
      <c r="D42" s="38"/>
      <c r="E42" s="38"/>
      <c r="F42" s="74"/>
      <c r="G42" s="23"/>
      <c r="H42" s="26"/>
      <c r="I42" s="48"/>
      <c r="J42" s="27"/>
      <c r="K42" s="27"/>
      <c r="L42" s="27"/>
      <c r="M42" s="42"/>
      <c r="N42" s="49"/>
      <c r="O42" s="50"/>
      <c r="P42" s="42"/>
      <c r="Q42" s="28"/>
      <c r="R42" s="14"/>
      <c r="S42" s="14"/>
    </row>
    <row r="43" spans="1:19" s="31" customFormat="1" ht="11.25" customHeight="1" x14ac:dyDescent="0.2">
      <c r="A43" s="51" t="s">
        <v>35</v>
      </c>
      <c r="F43" s="23"/>
      <c r="G43" s="23"/>
      <c r="H43" s="26"/>
      <c r="I43" s="48"/>
      <c r="J43" s="27"/>
      <c r="K43" s="27"/>
      <c r="L43" s="27"/>
      <c r="M43" s="42"/>
      <c r="N43" s="49"/>
      <c r="O43" s="50"/>
      <c r="P43" s="42"/>
      <c r="Q43" s="28"/>
      <c r="R43" s="14"/>
      <c r="S43" s="14"/>
    </row>
    <row r="44" spans="1:19" ht="12.75" x14ac:dyDescent="0.2">
      <c r="A44" s="55"/>
      <c r="B44" s="1"/>
      <c r="C44" s="1"/>
      <c r="D44" s="1"/>
      <c r="E44" s="1"/>
      <c r="F44" s="59"/>
      <c r="G44" s="23"/>
      <c r="H44" s="2"/>
      <c r="I44" s="1"/>
      <c r="J44" s="1"/>
      <c r="K44" s="1"/>
      <c r="L44" s="1"/>
      <c r="M44" s="4"/>
      <c r="N44" s="5"/>
      <c r="O44" s="6"/>
      <c r="P44" s="4"/>
      <c r="Q44" s="7"/>
      <c r="R44" s="1"/>
      <c r="S44" s="1"/>
    </row>
    <row r="45" spans="1:19" ht="11.25" customHeight="1" x14ac:dyDescent="0.2">
      <c r="A45" s="1"/>
      <c r="B45" s="1"/>
      <c r="C45" s="1"/>
      <c r="D45" s="1"/>
      <c r="E45" s="1"/>
      <c r="F45" s="53"/>
      <c r="G45" s="23"/>
      <c r="H45" s="2"/>
      <c r="I45" s="3"/>
      <c r="J45" s="4"/>
      <c r="K45" s="2"/>
      <c r="L45" s="2"/>
      <c r="M45" s="4"/>
      <c r="N45" s="5"/>
      <c r="O45" s="6"/>
      <c r="P45" s="4"/>
      <c r="Q45" s="7"/>
      <c r="R45" s="1"/>
      <c r="S45" s="1"/>
    </row>
    <row r="46" spans="1:19" ht="11.25" customHeight="1" x14ac:dyDescent="0.2">
      <c r="A46" s="1"/>
      <c r="B46" s="8"/>
      <c r="C46" s="8"/>
      <c r="D46" s="2"/>
      <c r="E46" s="2"/>
      <c r="F46" s="53"/>
      <c r="G46" s="54"/>
      <c r="H46" s="2"/>
      <c r="I46" s="1"/>
      <c r="J46" s="1"/>
    </row>
    <row r="47" spans="1:19" ht="11.25" customHeight="1" x14ac:dyDescent="0.2">
      <c r="A47" s="4"/>
      <c r="B47" s="54"/>
      <c r="C47" s="8"/>
      <c r="D47" s="2"/>
      <c r="E47" s="2"/>
      <c r="F47" s="53"/>
      <c r="G47" s="1"/>
      <c r="H47" s="2"/>
      <c r="I47" s="1"/>
      <c r="J47" s="1"/>
    </row>
    <row r="48" spans="1:19" ht="11.25" customHeight="1" x14ac:dyDescent="0.2">
      <c r="A48" s="4"/>
      <c r="B48" s="54"/>
      <c r="C48" s="8"/>
      <c r="D48" s="2"/>
      <c r="E48" s="2"/>
      <c r="F48" s="53"/>
      <c r="G48" s="54"/>
      <c r="H48" s="2"/>
      <c r="I48" s="1"/>
      <c r="J48" s="1"/>
    </row>
    <row r="49" spans="1:19" ht="12.75" x14ac:dyDescent="0.2">
      <c r="A49" s="4"/>
      <c r="B49" s="54"/>
      <c r="C49" s="8"/>
      <c r="D49" s="2"/>
      <c r="E49" s="2"/>
      <c r="F49" s="53"/>
      <c r="G49" s="54"/>
      <c r="H49" s="2"/>
      <c r="I49" s="1"/>
      <c r="J49" s="1"/>
    </row>
    <row r="50" spans="1:19" ht="12.75" x14ac:dyDescent="0.2">
      <c r="A50" s="4"/>
      <c r="B50" s="54"/>
      <c r="C50" s="54"/>
      <c r="D50" s="2"/>
      <c r="E50" s="2"/>
      <c r="F50" s="4"/>
      <c r="G50" s="54"/>
      <c r="H50" s="2"/>
      <c r="I50" s="1"/>
      <c r="J50" s="1"/>
    </row>
    <row r="51" spans="1:19" ht="12.75" x14ac:dyDescent="0.2">
      <c r="A51" s="4"/>
      <c r="B51" s="54"/>
      <c r="C51" s="54"/>
      <c r="D51" s="2"/>
      <c r="E51" s="2"/>
      <c r="F51" s="4"/>
      <c r="G51" s="54"/>
      <c r="H51" s="2"/>
      <c r="I51" s="1"/>
      <c r="J51" s="1"/>
    </row>
    <row r="52" spans="1:19" ht="12.75" x14ac:dyDescent="0.2">
      <c r="A52" s="56"/>
      <c r="B52" s="54"/>
      <c r="C52" s="54"/>
      <c r="D52" s="1"/>
      <c r="E52" s="1"/>
      <c r="F52" s="4"/>
      <c r="G52" s="59"/>
      <c r="H52" s="2"/>
      <c r="I52" s="4"/>
      <c r="J52" s="4"/>
      <c r="K52" s="4"/>
      <c r="L52" s="4"/>
      <c r="M52" s="4"/>
      <c r="N52" s="4"/>
      <c r="O52" s="4"/>
      <c r="P52" s="4"/>
      <c r="Q52" s="4"/>
      <c r="R52" s="1"/>
      <c r="S52" s="1"/>
    </row>
    <row r="53" spans="1:19" ht="12.75" x14ac:dyDescent="0.2">
      <c r="A53" s="56"/>
      <c r="B53" s="54"/>
      <c r="C53" s="54"/>
      <c r="D53" s="1"/>
      <c r="E53" s="1"/>
      <c r="F53" s="4"/>
      <c r="G53" s="54"/>
      <c r="H53" s="2"/>
      <c r="I53" s="4"/>
      <c r="J53" s="4"/>
      <c r="K53" s="4"/>
      <c r="L53" s="7"/>
      <c r="M53" s="4"/>
      <c r="N53" s="4"/>
      <c r="O53" s="4"/>
      <c r="P53" s="4"/>
      <c r="Q53" s="4"/>
      <c r="R53" s="1"/>
      <c r="S53" s="1"/>
    </row>
    <row r="54" spans="1:19" ht="12.75" x14ac:dyDescent="0.2">
      <c r="A54" s="4"/>
      <c r="B54" s="54"/>
      <c r="C54" s="8"/>
      <c r="D54" s="1"/>
      <c r="E54" s="1"/>
      <c r="F54" s="56"/>
      <c r="G54" s="54"/>
      <c r="H54" s="2"/>
      <c r="I54" s="1"/>
    </row>
    <row r="55" spans="1:19" ht="12.75" x14ac:dyDescent="0.2">
      <c r="A55" s="4"/>
      <c r="B55" s="54"/>
      <c r="C55" s="1"/>
      <c r="D55" s="1"/>
      <c r="E55" s="1"/>
      <c r="F55" s="56"/>
      <c r="G55" s="54"/>
      <c r="H55" s="2"/>
      <c r="I55" s="1"/>
    </row>
    <row r="56" spans="1:19" ht="12.75" x14ac:dyDescent="0.2">
      <c r="A56" s="4"/>
      <c r="B56" s="54"/>
      <c r="C56" s="54"/>
      <c r="D56" s="1"/>
      <c r="E56" s="1"/>
      <c r="F56" s="4"/>
      <c r="G56" s="54"/>
      <c r="H56" s="2"/>
      <c r="I56" s="1"/>
    </row>
    <row r="57" spans="1:19" ht="12.75" x14ac:dyDescent="0.2">
      <c r="A57" s="4"/>
      <c r="B57" s="54"/>
      <c r="C57" s="54"/>
      <c r="D57" s="1"/>
      <c r="E57" s="1"/>
      <c r="F57" s="4"/>
      <c r="G57" s="54"/>
      <c r="H57" s="2"/>
      <c r="I57" s="1"/>
    </row>
    <row r="58" spans="1:19" ht="12.75" x14ac:dyDescent="0.2">
      <c r="A58" s="4"/>
      <c r="B58" s="54"/>
      <c r="C58" s="54"/>
      <c r="D58" s="1"/>
      <c r="E58" s="1"/>
      <c r="F58" s="4"/>
      <c r="G58" s="59"/>
      <c r="H58" s="2"/>
      <c r="I58" s="1"/>
    </row>
    <row r="59" spans="1:19" ht="12.75" x14ac:dyDescent="0.2">
      <c r="A59" s="4"/>
      <c r="B59" s="54"/>
      <c r="C59" s="54"/>
      <c r="D59" s="1"/>
      <c r="E59" s="1"/>
      <c r="F59" s="4"/>
      <c r="G59" s="54"/>
      <c r="H59" s="2"/>
      <c r="I59" s="1"/>
    </row>
    <row r="60" spans="1:19" ht="12.75" x14ac:dyDescent="0.2">
      <c r="A60" s="4"/>
      <c r="B60" s="54"/>
      <c r="C60" s="8"/>
      <c r="D60" s="1"/>
      <c r="E60" s="1"/>
      <c r="F60" s="4"/>
      <c r="G60" s="54"/>
      <c r="H60" s="2"/>
      <c r="I60" s="1"/>
    </row>
    <row r="61" spans="1:19" ht="12.75" x14ac:dyDescent="0.2">
      <c r="A61" s="4"/>
      <c r="B61" s="54"/>
      <c r="C61" s="1"/>
      <c r="D61" s="1"/>
      <c r="E61" s="1"/>
      <c r="F61" s="4"/>
      <c r="G61" s="54"/>
      <c r="H61" s="2"/>
      <c r="I61" s="1"/>
    </row>
    <row r="62" spans="1:19" ht="12.75" x14ac:dyDescent="0.2">
      <c r="A62" s="4"/>
      <c r="B62" s="54"/>
      <c r="C62" s="54"/>
      <c r="D62" s="1"/>
      <c r="E62" s="1"/>
      <c r="F62" s="4"/>
      <c r="G62" s="54"/>
      <c r="H62" s="2"/>
      <c r="I62" s="1"/>
    </row>
    <row r="63" spans="1:19" ht="12.75" x14ac:dyDescent="0.2">
      <c r="A63" s="4"/>
      <c r="B63" s="54"/>
      <c r="C63" s="54"/>
      <c r="D63" s="1"/>
      <c r="E63" s="1"/>
      <c r="F63" s="4"/>
      <c r="G63" s="54"/>
      <c r="H63" s="2"/>
      <c r="I63" s="1"/>
    </row>
    <row r="64" spans="1:19" ht="12.75" x14ac:dyDescent="0.2">
      <c r="A64" s="4"/>
      <c r="B64" s="54"/>
      <c r="C64" s="54"/>
      <c r="D64" s="1"/>
      <c r="E64" s="1"/>
      <c r="F64" s="4"/>
      <c r="G64" s="59"/>
      <c r="H64" s="2"/>
      <c r="I64" s="1"/>
    </row>
    <row r="65" spans="1:9" ht="12.75" x14ac:dyDescent="0.2">
      <c r="A65" s="4"/>
      <c r="B65" s="54"/>
      <c r="C65" s="54"/>
      <c r="D65" s="1"/>
      <c r="E65" s="1"/>
      <c r="F65" s="4"/>
      <c r="G65" s="54"/>
      <c r="H65" s="2"/>
      <c r="I65" s="1"/>
    </row>
    <row r="66" spans="1:9" ht="12.75" x14ac:dyDescent="0.2">
      <c r="A66" s="4"/>
      <c r="B66" s="54"/>
      <c r="C66" s="8"/>
      <c r="D66" s="1"/>
      <c r="E66" s="1"/>
      <c r="F66" s="4"/>
      <c r="G66" s="59"/>
      <c r="H66" s="2"/>
      <c r="I66" s="1"/>
    </row>
    <row r="67" spans="1:9" ht="12.75" x14ac:dyDescent="0.2">
      <c r="A67" s="4"/>
      <c r="B67" s="54"/>
      <c r="C67" s="1"/>
      <c r="D67" s="1"/>
      <c r="E67" s="1"/>
      <c r="F67" s="4"/>
      <c r="G67" s="54"/>
      <c r="H67" s="2"/>
      <c r="I67" s="1"/>
    </row>
    <row r="68" spans="1:9" ht="12.75" x14ac:dyDescent="0.2">
      <c r="A68" s="57"/>
      <c r="B68" s="54"/>
      <c r="C68" s="54"/>
      <c r="D68" s="1"/>
      <c r="E68" s="1"/>
      <c r="F68" s="4"/>
      <c r="G68" s="54"/>
      <c r="H68" s="2"/>
      <c r="I68" s="1"/>
    </row>
    <row r="69" spans="1:9" ht="12.75" x14ac:dyDescent="0.2">
      <c r="A69" s="53"/>
      <c r="B69" s="54"/>
      <c r="C69" s="54"/>
      <c r="D69" s="1"/>
      <c r="E69" s="1"/>
      <c r="F69" s="4"/>
      <c r="G69" s="54"/>
      <c r="H69" s="2"/>
      <c r="I69" s="1"/>
    </row>
    <row r="70" spans="1:9" ht="12.75" x14ac:dyDescent="0.2">
      <c r="A70" s="53"/>
      <c r="B70" s="54"/>
      <c r="C70" s="54"/>
      <c r="D70" s="1"/>
      <c r="E70" s="1"/>
      <c r="F70" s="57"/>
      <c r="G70" s="54"/>
      <c r="H70" s="2"/>
      <c r="I70" s="1"/>
    </row>
    <row r="71" spans="1:9" ht="12.75" x14ac:dyDescent="0.2">
      <c r="A71" s="53"/>
      <c r="B71" s="54"/>
      <c r="C71" s="54"/>
      <c r="D71" s="1"/>
      <c r="E71" s="1"/>
      <c r="F71" s="53"/>
      <c r="G71" s="54"/>
      <c r="H71" s="2"/>
      <c r="I71" s="1"/>
    </row>
    <row r="72" spans="1:9" ht="12.75" x14ac:dyDescent="0.2">
      <c r="A72" s="53"/>
      <c r="B72" s="54"/>
      <c r="C72" s="54"/>
      <c r="D72" s="1"/>
      <c r="E72" s="1"/>
      <c r="F72" s="53"/>
      <c r="G72" s="54"/>
      <c r="H72" s="2"/>
      <c r="I72" s="1"/>
    </row>
    <row r="73" spans="1:9" ht="12.75" x14ac:dyDescent="0.2">
      <c r="A73" s="53"/>
      <c r="B73" s="54"/>
      <c r="C73" s="54"/>
      <c r="D73" s="1"/>
      <c r="E73" s="1"/>
      <c r="F73" s="53"/>
      <c r="G73" s="54"/>
      <c r="H73" s="2"/>
      <c r="I73" s="1"/>
    </row>
    <row r="74" spans="1:9" ht="12.75" x14ac:dyDescent="0.2">
      <c r="A74" s="53"/>
      <c r="B74" s="54"/>
      <c r="C74" s="54"/>
      <c r="D74" s="1"/>
      <c r="E74" s="1"/>
      <c r="F74" s="53"/>
      <c r="G74" s="54"/>
      <c r="H74" s="2"/>
      <c r="I74" s="1"/>
    </row>
    <row r="75" spans="1:9" ht="12.75" x14ac:dyDescent="0.2">
      <c r="A75" s="53"/>
      <c r="B75" s="54"/>
      <c r="C75" s="54"/>
      <c r="D75" s="1"/>
      <c r="E75" s="1"/>
      <c r="F75" s="53"/>
      <c r="G75" s="1"/>
      <c r="H75" s="2"/>
      <c r="I75" s="1"/>
    </row>
    <row r="76" spans="1:9" ht="12.75" x14ac:dyDescent="0.2">
      <c r="A76" s="1"/>
      <c r="B76" s="1"/>
      <c r="C76" s="8"/>
      <c r="D76" s="1"/>
      <c r="E76" s="1"/>
      <c r="F76" s="53"/>
      <c r="G76" s="54"/>
      <c r="H76" s="2"/>
      <c r="I76" s="1"/>
    </row>
    <row r="77" spans="1:9" ht="12.75" x14ac:dyDescent="0.2">
      <c r="A77" s="1"/>
      <c r="B77" s="1"/>
      <c r="C77" s="1"/>
      <c r="D77" s="1"/>
      <c r="E77" s="1"/>
      <c r="F77" s="53"/>
      <c r="G77" s="54"/>
      <c r="H77" s="2"/>
      <c r="I77" s="1"/>
    </row>
    <row r="78" spans="1:9" x14ac:dyDescent="0.2">
      <c r="A78" s="1"/>
      <c r="B78" s="1"/>
      <c r="C78" s="1"/>
      <c r="D78" s="1"/>
      <c r="E78" s="1"/>
      <c r="F78" s="1"/>
      <c r="G78" s="1"/>
      <c r="H78" s="2"/>
      <c r="I78" s="1"/>
    </row>
    <row r="79" spans="1:9" x14ac:dyDescent="0.2">
      <c r="A79" s="1"/>
      <c r="B79" s="1"/>
      <c r="C79" s="1"/>
      <c r="D79" s="1"/>
      <c r="E79" s="1"/>
      <c r="F79" s="1"/>
      <c r="G79" s="1"/>
      <c r="H79" s="2"/>
      <c r="I79" s="1"/>
    </row>
    <row r="80" spans="1:9" x14ac:dyDescent="0.2">
      <c r="A80" s="1"/>
      <c r="B80" s="1"/>
      <c r="C80" s="1"/>
      <c r="D80" s="1"/>
      <c r="E80" s="1"/>
      <c r="F80" s="1"/>
      <c r="G80" s="1"/>
      <c r="H80" s="2"/>
      <c r="I80" s="1"/>
    </row>
    <row r="81" spans="1:9" x14ac:dyDescent="0.2">
      <c r="A81" s="1"/>
      <c r="B81" s="1"/>
      <c r="C81" s="1"/>
      <c r="D81" s="1"/>
      <c r="E81" s="1"/>
      <c r="F81" s="1"/>
      <c r="G81" s="1"/>
      <c r="H81" s="2"/>
      <c r="I81" s="1"/>
    </row>
  </sheetData>
  <mergeCells count="6">
    <mergeCell ref="A5:G5"/>
    <mergeCell ref="A7:A8"/>
    <mergeCell ref="B7:C7"/>
    <mergeCell ref="D7:D8"/>
    <mergeCell ref="F7:G7"/>
    <mergeCell ref="L7:L8"/>
  </mergeCells>
  <conditionalFormatting sqref="Q8:Q31 Q38">
    <cfRule type="cellIs" dxfId="2" priority="3" stopIfTrue="1" operator="greaterThan">
      <formula>34</formula>
    </cfRule>
  </conditionalFormatting>
  <conditionalFormatting sqref="L9:L40">
    <cfRule type="cellIs" dxfId="1" priority="1" stopIfTrue="1" operator="lessThan">
      <formula>-25</formula>
    </cfRule>
    <cfRule type="cellIs" dxfId="0" priority="2" stopIfTrue="1" operator="greaterThan">
      <formula>0</formula>
    </cfRule>
  </conditionalFormatting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30AC0-FD4D-4994-9534-6E892EA36E53}">
  <dimension ref="B3:H40"/>
  <sheetViews>
    <sheetView topLeftCell="A7" workbookViewId="0">
      <selection activeCell="E31" sqref="E31:E32"/>
    </sheetView>
  </sheetViews>
  <sheetFormatPr defaultRowHeight="12.75" x14ac:dyDescent="0.2"/>
  <cols>
    <col min="2" max="2" width="31.85546875" customWidth="1"/>
    <col min="3" max="3" width="19.28515625" customWidth="1"/>
    <col min="4" max="4" width="23.5703125" customWidth="1"/>
    <col min="5" max="5" width="34.140625" customWidth="1"/>
    <col min="7" max="7" width="22" customWidth="1"/>
    <col min="8" max="8" width="13.7109375" customWidth="1"/>
  </cols>
  <sheetData>
    <row r="3" spans="2:8" x14ac:dyDescent="0.2">
      <c r="E3" t="s">
        <v>87</v>
      </c>
    </row>
    <row r="4" spans="2:8" x14ac:dyDescent="0.2">
      <c r="B4" t="s">
        <v>63</v>
      </c>
      <c r="D4" s="61" t="s">
        <v>36</v>
      </c>
      <c r="E4" s="23">
        <v>11975838.220000001</v>
      </c>
      <c r="G4" s="69"/>
      <c r="H4" s="70"/>
    </row>
    <row r="5" spans="2:8" x14ac:dyDescent="0.2">
      <c r="D5" s="61" t="s">
        <v>37</v>
      </c>
      <c r="E5" s="23">
        <v>245371.77499999999</v>
      </c>
      <c r="G5" s="69"/>
      <c r="H5" s="70"/>
    </row>
    <row r="6" spans="2:8" x14ac:dyDescent="0.2">
      <c r="B6" s="66" t="s">
        <v>64</v>
      </c>
      <c r="C6" s="67"/>
      <c r="D6" s="61" t="s">
        <v>38</v>
      </c>
      <c r="E6" s="23">
        <v>4156146.8470000001</v>
      </c>
      <c r="G6" s="69"/>
      <c r="H6" s="70"/>
    </row>
    <row r="7" spans="2:8" x14ac:dyDescent="0.2">
      <c r="B7" t="s">
        <v>4</v>
      </c>
      <c r="C7" s="23">
        <v>11975838.220000001</v>
      </c>
      <c r="D7" s="61" t="s">
        <v>39</v>
      </c>
      <c r="E7" s="23">
        <v>25044459.134</v>
      </c>
      <c r="G7" s="69"/>
      <c r="H7" s="70"/>
    </row>
    <row r="8" spans="2:8" x14ac:dyDescent="0.2">
      <c r="B8" t="s">
        <v>5</v>
      </c>
      <c r="C8" s="23">
        <v>245371.77499999999</v>
      </c>
      <c r="D8" s="61" t="s">
        <v>40</v>
      </c>
      <c r="E8" s="23">
        <v>3707996.068</v>
      </c>
      <c r="G8" s="71"/>
      <c r="H8" s="70"/>
    </row>
    <row r="9" spans="2:8" x14ac:dyDescent="0.2">
      <c r="B9" t="s">
        <v>6</v>
      </c>
      <c r="C9" s="23">
        <v>4156146.8470000001</v>
      </c>
      <c r="D9" s="61" t="s">
        <v>41</v>
      </c>
      <c r="E9" s="23">
        <v>1883828.8089999999</v>
      </c>
      <c r="G9" s="70"/>
      <c r="H9" s="70"/>
    </row>
    <row r="10" spans="2:8" x14ac:dyDescent="0.2">
      <c r="B10" t="s">
        <v>7</v>
      </c>
      <c r="C10" s="23">
        <v>25044459.134</v>
      </c>
      <c r="D10" s="61" t="s">
        <v>42</v>
      </c>
      <c r="E10" s="23">
        <v>1824167.2590000001</v>
      </c>
      <c r="G10" s="70"/>
      <c r="H10" s="70"/>
    </row>
    <row r="11" spans="2:8" x14ac:dyDescent="0.2">
      <c r="C11" s="73">
        <f>SUM(C7:C10)</f>
        <v>41421815.975999996</v>
      </c>
      <c r="D11" s="61" t="s">
        <v>43</v>
      </c>
      <c r="E11" s="23">
        <v>18911020.515000001</v>
      </c>
      <c r="G11" s="70"/>
      <c r="H11" s="70"/>
    </row>
    <row r="12" spans="2:8" x14ac:dyDescent="0.2">
      <c r="B12" s="66" t="s">
        <v>65</v>
      </c>
      <c r="C12" s="67"/>
      <c r="D12" s="61" t="s">
        <v>44</v>
      </c>
      <c r="E12" s="23">
        <v>3172437.662</v>
      </c>
      <c r="G12" s="70"/>
      <c r="H12" s="70"/>
    </row>
    <row r="13" spans="2:8" x14ac:dyDescent="0.2">
      <c r="B13" s="78" t="s">
        <v>66</v>
      </c>
      <c r="C13" s="23">
        <v>3707996.068</v>
      </c>
      <c r="D13" s="61" t="s">
        <v>45</v>
      </c>
      <c r="E13" s="23">
        <v>18033264.434</v>
      </c>
      <c r="G13" s="70"/>
      <c r="H13" s="70"/>
    </row>
    <row r="14" spans="2:8" x14ac:dyDescent="0.2">
      <c r="B14" s="78" t="s">
        <v>67</v>
      </c>
      <c r="C14" s="23">
        <v>18911020.515000001</v>
      </c>
      <c r="D14" s="61" t="s">
        <v>46</v>
      </c>
      <c r="E14" s="23">
        <v>9039210.0010000002</v>
      </c>
      <c r="G14" s="70"/>
      <c r="H14" s="70"/>
    </row>
    <row r="15" spans="2:8" x14ac:dyDescent="0.2">
      <c r="B15" s="78" t="s">
        <v>68</v>
      </c>
      <c r="C15" s="23">
        <v>3172437.662</v>
      </c>
      <c r="D15" s="61" t="s">
        <v>47</v>
      </c>
      <c r="E15" s="23">
        <v>2772758.2230000002</v>
      </c>
      <c r="G15" s="70"/>
      <c r="H15" s="70"/>
    </row>
    <row r="16" spans="2:8" x14ac:dyDescent="0.2">
      <c r="B16" s="78" t="s">
        <v>69</v>
      </c>
      <c r="C16" s="23">
        <v>18033264.434</v>
      </c>
      <c r="D16" s="61" t="s">
        <v>48</v>
      </c>
      <c r="E16" s="23">
        <v>3742513.3650000002</v>
      </c>
      <c r="G16" s="70"/>
      <c r="H16" s="70"/>
    </row>
    <row r="17" spans="2:8" x14ac:dyDescent="0.2">
      <c r="C17" s="73">
        <f>SUM(C13:C16)</f>
        <v>43824718.679000005</v>
      </c>
      <c r="D17" s="61" t="s">
        <v>49</v>
      </c>
      <c r="E17" s="23">
        <v>7447300.6610000003</v>
      </c>
      <c r="G17" s="70"/>
      <c r="H17" s="70"/>
    </row>
    <row r="18" spans="2:8" x14ac:dyDescent="0.2">
      <c r="B18" s="66" t="s">
        <v>70</v>
      </c>
      <c r="C18" s="67"/>
      <c r="D18" s="61" t="s">
        <v>50</v>
      </c>
      <c r="E18" s="23">
        <v>3030350.9019999998</v>
      </c>
      <c r="G18" s="70"/>
      <c r="H18" s="70"/>
    </row>
    <row r="19" spans="2:8" x14ac:dyDescent="0.2">
      <c r="B19" t="s">
        <v>71</v>
      </c>
      <c r="C19" s="23">
        <v>9039210.0010000002</v>
      </c>
      <c r="D19" s="61" t="s">
        <v>51</v>
      </c>
      <c r="E19" s="23">
        <v>835284.55299999996</v>
      </c>
      <c r="G19" s="70"/>
      <c r="H19" s="70"/>
    </row>
    <row r="20" spans="2:8" x14ac:dyDescent="0.2">
      <c r="B20" t="s">
        <v>72</v>
      </c>
      <c r="C20" s="23">
        <v>2772758.2230000002</v>
      </c>
      <c r="D20" s="61" t="s">
        <v>52</v>
      </c>
      <c r="E20" s="23">
        <v>8621861.9600000009</v>
      </c>
      <c r="G20" s="70"/>
      <c r="H20" s="70"/>
    </row>
    <row r="21" spans="2:8" x14ac:dyDescent="0.2">
      <c r="B21" t="s">
        <v>73</v>
      </c>
      <c r="C21" s="23">
        <v>3742513.3650000002</v>
      </c>
      <c r="D21" s="61" t="s">
        <v>53</v>
      </c>
      <c r="E21" s="23">
        <v>6820298.4550000001</v>
      </c>
      <c r="G21" s="70"/>
      <c r="H21" s="70"/>
    </row>
    <row r="22" spans="2:8" x14ac:dyDescent="0.2">
      <c r="B22" t="s">
        <v>74</v>
      </c>
      <c r="C22" s="23">
        <v>7447300.6610000003</v>
      </c>
      <c r="D22" s="61" t="s">
        <v>54</v>
      </c>
      <c r="E22" s="23">
        <v>1399111.699</v>
      </c>
      <c r="G22" s="70"/>
      <c r="H22" s="70"/>
    </row>
    <row r="23" spans="2:8" x14ac:dyDescent="0.2">
      <c r="C23" s="73">
        <f>SUM(C19:C22)</f>
        <v>23001782.25</v>
      </c>
      <c r="D23" s="61" t="s">
        <v>55</v>
      </c>
      <c r="E23" s="23">
        <v>1615325.821</v>
      </c>
      <c r="G23" s="70"/>
      <c r="H23" s="70"/>
    </row>
    <row r="24" spans="2:8" x14ac:dyDescent="0.2">
      <c r="B24" s="66" t="s">
        <v>75</v>
      </c>
      <c r="C24" s="67">
        <f>C11+C17+C23</f>
        <v>108248316.905</v>
      </c>
      <c r="D24" s="61" t="s">
        <v>56</v>
      </c>
      <c r="E24" s="23">
        <v>4368201.2180000003</v>
      </c>
      <c r="G24" s="70"/>
      <c r="H24" s="70"/>
    </row>
    <row r="25" spans="2:8" x14ac:dyDescent="0.2">
      <c r="B25" s="66" t="s">
        <v>76</v>
      </c>
      <c r="C25" s="67"/>
      <c r="D25" s="61" t="s">
        <v>57</v>
      </c>
      <c r="E25" s="23">
        <v>1810458.6059999999</v>
      </c>
      <c r="G25" s="70"/>
      <c r="H25" s="70"/>
    </row>
    <row r="26" spans="2:8" x14ac:dyDescent="0.2">
      <c r="B26" t="s">
        <v>77</v>
      </c>
      <c r="C26" s="23">
        <v>3030350.9019999998</v>
      </c>
      <c r="D26" s="61"/>
      <c r="E26" s="62"/>
      <c r="G26" s="70"/>
      <c r="H26" s="70"/>
    </row>
    <row r="27" spans="2:8" x14ac:dyDescent="0.2">
      <c r="B27" t="s">
        <v>78</v>
      </c>
      <c r="C27" s="23">
        <v>835284.55299999996</v>
      </c>
      <c r="D27" s="63" t="s">
        <v>58</v>
      </c>
      <c r="E27" s="62">
        <v>85246534.655000001</v>
      </c>
      <c r="G27" s="70"/>
      <c r="H27" s="70"/>
    </row>
    <row r="28" spans="2:8" x14ac:dyDescent="0.2">
      <c r="B28" t="s">
        <v>79</v>
      </c>
      <c r="C28" s="23">
        <v>8621861.9600000009</v>
      </c>
      <c r="D28" s="63" t="s">
        <v>59</v>
      </c>
      <c r="E28" s="62">
        <v>23001782.25</v>
      </c>
      <c r="G28" s="70"/>
      <c r="H28" s="70"/>
    </row>
    <row r="29" spans="2:8" x14ac:dyDescent="0.2">
      <c r="B29" t="s">
        <v>80</v>
      </c>
      <c r="C29" s="23">
        <v>6820298.4550000001</v>
      </c>
      <c r="D29" s="63" t="s">
        <v>60</v>
      </c>
      <c r="E29" s="62">
        <v>28500893.214000002</v>
      </c>
      <c r="G29" s="70"/>
      <c r="H29" s="70"/>
    </row>
    <row r="30" spans="2:8" x14ac:dyDescent="0.2">
      <c r="B30" t="s">
        <v>81</v>
      </c>
      <c r="C30" s="23">
        <v>1399111.699</v>
      </c>
      <c r="D30" s="63" t="s">
        <v>61</v>
      </c>
      <c r="E30" s="62">
        <v>136749210.11899999</v>
      </c>
      <c r="G30" s="70"/>
      <c r="H30" s="70"/>
    </row>
    <row r="31" spans="2:8" x14ac:dyDescent="0.2">
      <c r="B31" t="s">
        <v>82</v>
      </c>
      <c r="C31" s="23">
        <v>1615325.821</v>
      </c>
      <c r="D31" s="63" t="s">
        <v>62</v>
      </c>
      <c r="E31" s="62">
        <v>8423687.4529999997</v>
      </c>
      <c r="G31" s="70"/>
      <c r="H31" s="70"/>
    </row>
    <row r="32" spans="2:8" x14ac:dyDescent="0.2">
      <c r="B32" t="s">
        <v>83</v>
      </c>
      <c r="C32" s="23">
        <v>4368201.2180000003</v>
      </c>
      <c r="D32" s="64" t="s">
        <v>33</v>
      </c>
      <c r="E32" s="62">
        <v>145172897.572</v>
      </c>
      <c r="G32" s="70"/>
      <c r="H32" s="70"/>
    </row>
    <row r="33" spans="2:8" x14ac:dyDescent="0.2">
      <c r="B33" t="s">
        <v>84</v>
      </c>
      <c r="C33" s="23">
        <v>1810458.6059999999</v>
      </c>
      <c r="G33" s="70"/>
      <c r="H33" s="70"/>
    </row>
    <row r="34" spans="2:8" x14ac:dyDescent="0.2">
      <c r="C34" s="73">
        <f>SUM(C26:C33)</f>
        <v>28500893.214000002</v>
      </c>
      <c r="G34" s="70"/>
      <c r="H34" s="70"/>
    </row>
    <row r="35" spans="2:8" x14ac:dyDescent="0.2">
      <c r="C35" s="65"/>
      <c r="G35" s="70"/>
      <c r="H35" s="70"/>
    </row>
    <row r="36" spans="2:8" x14ac:dyDescent="0.2">
      <c r="G36" s="70"/>
      <c r="H36" s="70"/>
    </row>
    <row r="37" spans="2:8" x14ac:dyDescent="0.2">
      <c r="G37" s="72"/>
      <c r="H37" s="70"/>
    </row>
    <row r="38" spans="2:8" x14ac:dyDescent="0.2">
      <c r="G38" s="72"/>
      <c r="H38" s="70"/>
    </row>
    <row r="39" spans="2:8" x14ac:dyDescent="0.2">
      <c r="G39" s="72"/>
      <c r="H39" s="70"/>
    </row>
    <row r="40" spans="2:8" x14ac:dyDescent="0.2">
      <c r="G40" s="72"/>
      <c r="H40" s="7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1</vt:i4>
      </vt:variant>
    </vt:vector>
  </HeadingPairs>
  <TitlesOfParts>
    <vt:vector size="3" baseType="lpstr">
      <vt:lpstr>Merci su strada</vt:lpstr>
      <vt:lpstr>Foglio1</vt:lpstr>
      <vt:lpstr>'Merci su strada'!Area_stampa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Alessandra Reale</dc:creator>
  <cp:lastModifiedBy>Alessandra Reale</cp:lastModifiedBy>
  <dcterms:created xsi:type="dcterms:W3CDTF">2016-12-22T08:50:32Z</dcterms:created>
  <dcterms:modified xsi:type="dcterms:W3CDTF">2025-06-16T09:30:28Z</dcterms:modified>
</cp:coreProperties>
</file>